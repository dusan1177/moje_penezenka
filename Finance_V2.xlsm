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30" codeName="{F3310B89-0DAA-6C43-5919-0D5897632BE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usanimmer/Library/Mobile Documents/com~apple~CloudDocs/PC/"/>
    </mc:Choice>
  </mc:AlternateContent>
  <xr:revisionPtr revIDLastSave="0" documentId="13_ncr:1_{169644D7-2770-2840-A8E0-DE60DDF6B793}" xr6:coauthVersionLast="47" xr6:coauthVersionMax="47" xr10:uidLastSave="{00000000-0000-0000-0000-000000000000}"/>
  <bookViews>
    <workbookView xWindow="0" yWindow="660" windowWidth="29400" windowHeight="17180" xr2:uid="{35813E9D-AA21-4E53-AF97-C78979A363F9}"/>
  </bookViews>
  <sheets>
    <sheet name="Finance" sheetId="1" r:id="rId1"/>
    <sheet name="Sources" sheetId="4" r:id="rId2"/>
    <sheet name="Terka 2025" sheetId="12" state="hidden" r:id="rId3"/>
    <sheet name="Terka" sheetId="7" state="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" l="1"/>
  <c r="L37" i="1"/>
  <c r="L36" i="1"/>
  <c r="L35" i="1"/>
  <c r="A10" i="1"/>
  <c r="A5" i="1"/>
  <c r="A6" i="1"/>
  <c r="J2" i="4"/>
  <c r="J3" i="4"/>
  <c r="J9" i="4"/>
  <c r="G21" i="4"/>
  <c r="G22" i="4" s="1"/>
  <c r="Q29" i="1"/>
  <c r="D31" i="1"/>
  <c r="J31" i="1"/>
  <c r="D15" i="12"/>
  <c r="D9" i="12"/>
  <c r="Q23" i="12"/>
  <c r="R23" i="12" s="1"/>
  <c r="Q18" i="12"/>
  <c r="G13" i="4"/>
  <c r="A2" i="1"/>
  <c r="A3" i="1"/>
  <c r="A4" i="1"/>
  <c r="A7" i="1"/>
  <c r="A8" i="1"/>
  <c r="A9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O15" i="12"/>
  <c r="P15" i="12" s="1"/>
  <c r="P1" i="4"/>
  <c r="D21" i="12"/>
  <c r="D33" i="7"/>
  <c r="D21" i="7"/>
  <c r="D15" i="7"/>
  <c r="J8" i="4"/>
  <c r="K33" i="12"/>
  <c r="D33" i="12"/>
  <c r="K27" i="12"/>
  <c r="D27" i="12"/>
  <c r="K21" i="12"/>
  <c r="K15" i="12"/>
  <c r="Q10" i="12"/>
  <c r="T10" i="12" s="1"/>
  <c r="K9" i="12"/>
  <c r="Q3" i="12"/>
  <c r="T2" i="12" s="1"/>
  <c r="K3" i="12"/>
  <c r="D3" i="12"/>
  <c r="J18" i="4"/>
  <c r="J14" i="4"/>
  <c r="J6" i="4"/>
  <c r="J4" i="4"/>
  <c r="K33" i="7"/>
  <c r="K27" i="7"/>
  <c r="K21" i="7"/>
  <c r="K15" i="7"/>
  <c r="K9" i="7"/>
  <c r="K3" i="7"/>
  <c r="D27" i="7"/>
  <c r="G1" i="4"/>
  <c r="Q10" i="7"/>
  <c r="T10" i="7" s="1"/>
  <c r="Q3" i="7"/>
  <c r="T2" i="7" s="1"/>
  <c r="A32" i="1"/>
  <c r="J30" i="4"/>
  <c r="J19" i="4"/>
  <c r="J17" i="4"/>
  <c r="J15" i="4"/>
  <c r="J7" i="4"/>
  <c r="C32" i="4"/>
  <c r="I1" i="1" s="1"/>
  <c r="J28" i="4"/>
  <c r="J13" i="4"/>
  <c r="J12" i="4"/>
  <c r="J5" i="4"/>
  <c r="D3" i="7"/>
  <c r="D9" i="7"/>
  <c r="J21" i="1"/>
  <c r="J20" i="4"/>
  <c r="J21" i="4"/>
  <c r="J23" i="4"/>
  <c r="J24" i="4"/>
  <c r="J26" i="4"/>
  <c r="J1" i="4"/>
  <c r="J22" i="4"/>
  <c r="J25" i="4"/>
  <c r="J27" i="4"/>
  <c r="A31" i="1"/>
  <c r="J31" i="4"/>
  <c r="J10" i="4"/>
  <c r="J16" i="4"/>
  <c r="J11" i="4"/>
  <c r="M2" i="1" a="1"/>
  <c r="N2" i="1" a="1"/>
  <c r="H28" i="1"/>
  <c r="I2" i="1"/>
  <c r="O36" i="4" l="1"/>
  <c r="O1" i="4"/>
  <c r="O38" i="4"/>
  <c r="O4" i="4"/>
  <c r="O13" i="4"/>
  <c r="O25" i="4"/>
  <c r="O18" i="4"/>
  <c r="O35" i="4"/>
  <c r="O12" i="4"/>
  <c r="O20" i="4"/>
  <c r="O34" i="4"/>
  <c r="O11" i="4"/>
  <c r="O26" i="4"/>
  <c r="O19" i="4"/>
  <c r="O27" i="4"/>
  <c r="O10" i="4"/>
  <c r="O7" i="4"/>
  <c r="O6" i="4"/>
  <c r="O5" i="4"/>
  <c r="O33" i="4"/>
  <c r="O24" i="4"/>
  <c r="O17" i="4"/>
  <c r="O8" i="4"/>
  <c r="O40" i="4"/>
  <c r="O32" i="4"/>
  <c r="O23" i="4"/>
  <c r="O16" i="4"/>
  <c r="O39" i="4"/>
  <c r="O31" i="4"/>
  <c r="O15" i="4"/>
  <c r="O21" i="4"/>
  <c r="O28" i="4"/>
  <c r="O37" i="4"/>
  <c r="O14" i="4"/>
  <c r="O22" i="4"/>
  <c r="O30" i="4"/>
  <c r="D35" i="4"/>
  <c r="D3" i="4"/>
  <c r="C6" i="1" s="1"/>
  <c r="D14" i="4"/>
  <c r="C15" i="1" s="1"/>
  <c r="D18" i="4"/>
  <c r="C19" i="1" s="1"/>
  <c r="D27" i="4"/>
  <c r="C28" i="1" s="1"/>
  <c r="D10" i="4"/>
  <c r="C11" i="1" s="1"/>
  <c r="D38" i="4"/>
  <c r="D15" i="4"/>
  <c r="C16" i="1" s="1"/>
  <c r="D23" i="4"/>
  <c r="C24" i="1" s="1"/>
  <c r="D5" i="4"/>
  <c r="C4" i="1" s="1"/>
  <c r="D30" i="4"/>
  <c r="C31" i="1" s="1"/>
  <c r="E2" i="1"/>
  <c r="D9" i="4"/>
  <c r="C10" i="1" s="1"/>
  <c r="D2" i="4"/>
  <c r="C5" i="1" s="1"/>
  <c r="D8" i="4"/>
  <c r="C9" i="1" s="1"/>
  <c r="D12" i="4"/>
  <c r="C13" i="1" s="1"/>
  <c r="D6" i="4"/>
  <c r="C7" i="1" s="1"/>
  <c r="D19" i="4"/>
  <c r="C20" i="1" s="1"/>
  <c r="D16" i="4"/>
  <c r="C17" i="1" s="1"/>
  <c r="D13" i="4"/>
  <c r="C14" i="1" s="1"/>
  <c r="D28" i="4"/>
  <c r="C29" i="1" s="1"/>
  <c r="D22" i="4"/>
  <c r="C23" i="1" s="1"/>
  <c r="D21" i="4"/>
  <c r="C22" i="1" s="1"/>
  <c r="D4" i="4"/>
  <c r="C2" i="1" s="1"/>
  <c r="D37" i="4"/>
  <c r="D25" i="4"/>
  <c r="C26" i="1" s="1"/>
  <c r="D24" i="4"/>
  <c r="C25" i="1" s="1"/>
  <c r="D17" i="4"/>
  <c r="C18" i="1" s="1"/>
  <c r="D20" i="4"/>
  <c r="C21" i="1" s="1"/>
  <c r="E31" i="1"/>
  <c r="F31" i="1" s="1"/>
  <c r="D1" i="4"/>
  <c r="C3" i="1" s="1"/>
  <c r="D26" i="4"/>
  <c r="C27" i="1" s="1"/>
  <c r="D7" i="4"/>
  <c r="D31" i="4"/>
  <c r="C32" i="1" s="1"/>
  <c r="D11" i="4"/>
  <c r="C12" i="1" s="1"/>
  <c r="C8" i="1"/>
  <c r="I21" i="1"/>
  <c r="D2" i="1" l="1"/>
  <c r="F2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<sst xmlns="http://schemas.openxmlformats.org/spreadsheetml/2006/main" count="309" uniqueCount="171">
  <si>
    <t>Peníze</t>
  </si>
  <si>
    <t>Platby</t>
  </si>
  <si>
    <t>Zůstatek</t>
  </si>
  <si>
    <t>CSOB</t>
  </si>
  <si>
    <t>Raifka</t>
  </si>
  <si>
    <t>Hotovost</t>
  </si>
  <si>
    <t>Revolut</t>
  </si>
  <si>
    <t>Počet dní</t>
  </si>
  <si>
    <t>Popis</t>
  </si>
  <si>
    <t>Splátka Equa</t>
  </si>
  <si>
    <t>Hypo</t>
  </si>
  <si>
    <t>Elektrika</t>
  </si>
  <si>
    <t>Investice</t>
  </si>
  <si>
    <t>Život</t>
  </si>
  <si>
    <t>Nájem</t>
  </si>
  <si>
    <t xml:space="preserve">TV </t>
  </si>
  <si>
    <t>Ondra sporeni</t>
  </si>
  <si>
    <t>Rozhlas</t>
  </si>
  <si>
    <t>Plyn</t>
  </si>
  <si>
    <t>Penze</t>
  </si>
  <si>
    <t>Vojta sporeni</t>
  </si>
  <si>
    <t>Den</t>
  </si>
  <si>
    <t>Vojta obedy</t>
  </si>
  <si>
    <t>Ondra obedy</t>
  </si>
  <si>
    <t>Pojistka byt</t>
  </si>
  <si>
    <t>Airbank</t>
  </si>
  <si>
    <t>celkem</t>
  </si>
  <si>
    <t>částka</t>
  </si>
  <si>
    <t>konec</t>
  </si>
  <si>
    <t>splátka</t>
  </si>
  <si>
    <t>23.</t>
  </si>
  <si>
    <t>den</t>
  </si>
  <si>
    <t>17.</t>
  </si>
  <si>
    <t>20.</t>
  </si>
  <si>
    <t>Pojistka Citroen</t>
  </si>
  <si>
    <t>19.</t>
  </si>
  <si>
    <t>letenky</t>
  </si>
  <si>
    <t>Spoření</t>
  </si>
  <si>
    <t>ČSOB</t>
  </si>
  <si>
    <t>Aktuální datum</t>
  </si>
  <si>
    <t>Příští měsíc rozpis</t>
  </si>
  <si>
    <t>Výplata</t>
  </si>
  <si>
    <t>Splátka AirBank II.</t>
  </si>
  <si>
    <t>Splátka AirBank I.</t>
  </si>
  <si>
    <t>Airbank splátka I.</t>
  </si>
  <si>
    <t>Airbank splátka II.</t>
  </si>
  <si>
    <t>ubytování</t>
  </si>
  <si>
    <t>2/5/8/11</t>
  </si>
  <si>
    <t>Měsíčně platby včetně splátek</t>
  </si>
  <si>
    <t>Měsíčně platby bez splátek</t>
  </si>
  <si>
    <t>Telefony, TV a internet</t>
  </si>
  <si>
    <t>Disney</t>
  </si>
  <si>
    <t>Netflix</t>
  </si>
  <si>
    <t>Microsoft</t>
  </si>
  <si>
    <t>Dresy</t>
  </si>
  <si>
    <t>Sešity</t>
  </si>
  <si>
    <t>Příspěvek na kluky</t>
  </si>
  <si>
    <t>Zaplatit</t>
  </si>
  <si>
    <t>Vojta doučování</t>
  </si>
  <si>
    <t>Němčina</t>
  </si>
  <si>
    <t>Dar rodičů</t>
  </si>
  <si>
    <t>ZÁŘÍ</t>
  </si>
  <si>
    <t>ŘÍJEN</t>
  </si>
  <si>
    <t>Vojta ŠVP</t>
  </si>
  <si>
    <t>Vojta Německo</t>
  </si>
  <si>
    <t>KB</t>
  </si>
  <si>
    <t>AirBank</t>
  </si>
  <si>
    <t>Listopad</t>
  </si>
  <si>
    <t>Apple iCloud</t>
  </si>
  <si>
    <t>Skyshowtime</t>
  </si>
  <si>
    <t>HBO MAX</t>
  </si>
  <si>
    <t>AppleMusic</t>
  </si>
  <si>
    <t>Táta a máma</t>
  </si>
  <si>
    <t>Ondra</t>
  </si>
  <si>
    <t>Prosinec</t>
  </si>
  <si>
    <t>Vojta</t>
  </si>
  <si>
    <t>Angličtina</t>
  </si>
  <si>
    <t xml:space="preserve">Cvičení </t>
  </si>
  <si>
    <t>hodina cvičení</t>
  </si>
  <si>
    <t>počet hodin</t>
  </si>
  <si>
    <t>Dráždany</t>
  </si>
  <si>
    <t>LEDEN</t>
  </si>
  <si>
    <t>ÚNOR</t>
  </si>
  <si>
    <t>BŘEZEN</t>
  </si>
  <si>
    <t>DUBEN</t>
  </si>
  <si>
    <t>Ondra boty</t>
  </si>
  <si>
    <t>Kluci poplatky</t>
  </si>
  <si>
    <t>Celkem</t>
  </si>
  <si>
    <t>start</t>
  </si>
  <si>
    <t>Vojta Osvětim</t>
  </si>
  <si>
    <t>Partners</t>
  </si>
  <si>
    <t>Vojta taneční</t>
  </si>
  <si>
    <t>KVĚTEN</t>
  </si>
  <si>
    <t>ČERVEN</t>
  </si>
  <si>
    <t>ČERVENEC</t>
  </si>
  <si>
    <t>SRPEN</t>
  </si>
  <si>
    <t>Amundi</t>
  </si>
  <si>
    <t>Trading</t>
  </si>
  <si>
    <t>Drobné</t>
  </si>
  <si>
    <t>Stáří :)</t>
  </si>
  <si>
    <t>Moneta</t>
  </si>
  <si>
    <t>Ondra ŠVP</t>
  </si>
  <si>
    <t>Vojta adapťák</t>
  </si>
  <si>
    <t>Amundi DIP</t>
  </si>
  <si>
    <t>Ondra dres</t>
  </si>
  <si>
    <t>:dnešní datum -rok</t>
  </si>
  <si>
    <t>list finance</t>
  </si>
  <si>
    <t>převod z minulého měsíce</t>
  </si>
  <si>
    <t>Ondra angličtina</t>
  </si>
  <si>
    <t>Ondra tréninky</t>
  </si>
  <si>
    <t>Vojta posilovna</t>
  </si>
  <si>
    <t>Ondra florbal</t>
  </si>
  <si>
    <t>Vojta oblečení</t>
  </si>
  <si>
    <t>Ondra oblečení</t>
  </si>
  <si>
    <t>Ondra trénink</t>
  </si>
  <si>
    <t>Ondra doučko</t>
  </si>
  <si>
    <t>Vojta gumy - cvičení</t>
  </si>
  <si>
    <t>Doplatek Ondra</t>
  </si>
  <si>
    <t>Ondra oblečení + škola</t>
  </si>
  <si>
    <t>Vojta posilka</t>
  </si>
  <si>
    <t>Nedoplatek za červen</t>
  </si>
  <si>
    <t>Školní potřeby</t>
  </si>
  <si>
    <t xml:space="preserve">Vojta Oblek </t>
  </si>
  <si>
    <t>Vojta lítačka + rukavice</t>
  </si>
  <si>
    <t>Taneční</t>
  </si>
  <si>
    <t>Boty do tělocvičny</t>
  </si>
  <si>
    <t>Apalucha</t>
  </si>
  <si>
    <t>Binance</t>
  </si>
  <si>
    <t>Škola v přírodě</t>
  </si>
  <si>
    <t>Boty</t>
  </si>
  <si>
    <t>Hrnce</t>
  </si>
  <si>
    <t>Ondra prohlídky</t>
  </si>
  <si>
    <t>Florbal</t>
  </si>
  <si>
    <t>SRPŠ</t>
  </si>
  <si>
    <t>SOSIK doučovani</t>
  </si>
  <si>
    <t>Florbal Ondra</t>
  </si>
  <si>
    <t>Ondra mikina</t>
  </si>
  <si>
    <t>Vojta SRPŠ</t>
  </si>
  <si>
    <t>Ondra Sosik</t>
  </si>
  <si>
    <t>Vojta ISIC</t>
  </si>
  <si>
    <t>Rentea</t>
  </si>
  <si>
    <t>Vojta Francie</t>
  </si>
  <si>
    <t>Ondra posilka</t>
  </si>
  <si>
    <t>Ondra ŠvP</t>
  </si>
  <si>
    <t>Vojta ŠvP</t>
  </si>
  <si>
    <t>Nestandardní výdaje</t>
  </si>
  <si>
    <t>Zaplaceno</t>
  </si>
  <si>
    <t>Doplatit</t>
  </si>
  <si>
    <t>INFO</t>
  </si>
  <si>
    <t>Daň z nemovitosti</t>
  </si>
  <si>
    <t>Ondra adapťák</t>
  </si>
  <si>
    <t>10.6.</t>
  </si>
  <si>
    <t>srpen</t>
  </si>
  <si>
    <t>Částka</t>
  </si>
  <si>
    <t>Vojta Barber/posilka</t>
  </si>
  <si>
    <t>Ondra dluh</t>
  </si>
  <si>
    <t>Splátky</t>
  </si>
  <si>
    <t>zbývá</t>
  </si>
  <si>
    <t>14.8.</t>
  </si>
  <si>
    <t>Moneta půjčka</t>
  </si>
  <si>
    <t>Vojta kapesné</t>
  </si>
  <si>
    <t>Ondra kapesné</t>
  </si>
  <si>
    <t>15.</t>
  </si>
  <si>
    <t>Vojta Lisabon</t>
  </si>
  <si>
    <t>Ondra dlužíme</t>
  </si>
  <si>
    <t>Dušan</t>
  </si>
  <si>
    <t>16.9.</t>
  </si>
  <si>
    <t>Ondra BJJ</t>
  </si>
  <si>
    <t>Vojta BJJ</t>
  </si>
  <si>
    <t>Vojta Brýle</t>
  </si>
  <si>
    <t>Amundi 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</si>
</sst>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.00\ &quot;Kč&quot;"/>
    <numFmt numFmtId="165" formatCode="#,##0.00\ [$EUR]"/>
    <numFmt numFmtId="166" formatCode="#,##0.00\ [$€-1]"/>
    <numFmt numFmtId="167" formatCode="[$$-409]#,##0.00"/>
    <numFmt numFmtId="168" formatCode="d/m;@"/>
  </numFmts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2"/>
      <color rgb="FF000000"/>
      <name val="Aptos Narrow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0" fillId="0" borderId="3" xfId="0" applyBorder="1"/>
    <xf numFmtId="164" fontId="0" fillId="0" borderId="3" xfId="0" applyNumberFormat="1" applyBorder="1"/>
    <xf numFmtId="0" fontId="1" fillId="0" borderId="2" xfId="0" applyFont="1" applyBorder="1" applyAlignment="1">
      <alignment horizontal="center" vertical="center"/>
    </xf>
    <xf numFmtId="0" fontId="0" fillId="2" borderId="1" xfId="0" applyFill="1" applyBorder="1"/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4" fontId="0" fillId="0" borderId="1" xfId="0" applyNumberFormat="1" applyBorder="1"/>
    <xf numFmtId="0" fontId="0" fillId="0" borderId="1" xfId="0" applyBorder="1" applyAlignment="1">
      <alignment horizontal="center"/>
    </xf>
    <xf numFmtId="0" fontId="0" fillId="3" borderId="1" xfId="0" applyFill="1" applyBorder="1"/>
    <xf numFmtId="164" fontId="0" fillId="0" borderId="0" xfId="0" applyNumberFormat="1"/>
    <xf numFmtId="165" fontId="0" fillId="0" borderId="1" xfId="0" applyNumberFormat="1" applyBorder="1"/>
    <xf numFmtId="22" fontId="0" fillId="0" borderId="1" xfId="0" applyNumberFormat="1" applyBorder="1"/>
    <xf numFmtId="0" fontId="1" fillId="0" borderId="0" xfId="0" applyFont="1"/>
    <xf numFmtId="14" fontId="0" fillId="0" borderId="0" xfId="0" applyNumberFormat="1"/>
    <xf numFmtId="1" fontId="0" fillId="0" borderId="3" xfId="0" applyNumberFormat="1" applyBorder="1"/>
    <xf numFmtId="164" fontId="1" fillId="4" borderId="1" xfId="0" applyNumberFormat="1" applyFont="1" applyFill="1" applyBorder="1"/>
    <xf numFmtId="0" fontId="1" fillId="5" borderId="4" xfId="0" applyFont="1" applyFill="1" applyBorder="1"/>
    <xf numFmtId="0" fontId="1" fillId="5" borderId="5" xfId="0" applyFont="1" applyFill="1" applyBorder="1"/>
    <xf numFmtId="165" fontId="0" fillId="0" borderId="0" xfId="0" applyNumberFormat="1"/>
    <xf numFmtId="14" fontId="0" fillId="6" borderId="1" xfId="0" applyNumberFormat="1" applyFill="1" applyBorder="1"/>
    <xf numFmtId="0" fontId="0" fillId="0" borderId="6" xfId="0" applyBorder="1"/>
    <xf numFmtId="164" fontId="0" fillId="0" borderId="7" xfId="0" applyNumberFormat="1" applyBorder="1"/>
    <xf numFmtId="0" fontId="0" fillId="0" borderId="7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64" fontId="0" fillId="0" borderId="12" xfId="0" applyNumberFormat="1" applyBorder="1"/>
    <xf numFmtId="0" fontId="0" fillId="0" borderId="12" xfId="0" applyBorder="1"/>
    <xf numFmtId="0" fontId="0" fillId="0" borderId="13" xfId="0" applyBorder="1"/>
    <xf numFmtId="0" fontId="0" fillId="0" borderId="15" xfId="0" applyBorder="1"/>
    <xf numFmtId="0" fontId="0" fillId="0" borderId="14" xfId="0" applyBorder="1"/>
    <xf numFmtId="0" fontId="1" fillId="2" borderId="8" xfId="0" applyFont="1" applyFill="1" applyBorder="1"/>
    <xf numFmtId="0" fontId="1" fillId="0" borderId="15" xfId="0" applyFont="1" applyBorder="1" applyAlignment="1">
      <alignment horizontal="center"/>
    </xf>
    <xf numFmtId="164" fontId="0" fillId="0" borderId="16" xfId="0" applyNumberFormat="1" applyBorder="1"/>
    <xf numFmtId="165" fontId="0" fillId="0" borderId="17" xfId="0" applyNumberFormat="1" applyBorder="1"/>
    <xf numFmtId="0" fontId="0" fillId="3" borderId="14" xfId="0" applyFill="1" applyBorder="1"/>
    <xf numFmtId="0" fontId="0" fillId="3" borderId="3" xfId="0" applyFill="1" applyBorder="1"/>
    <xf numFmtId="0" fontId="1" fillId="4" borderId="1" xfId="0" applyFont="1" applyFill="1" applyBorder="1"/>
    <xf numFmtId="164" fontId="0" fillId="3" borderId="14" xfId="0" applyNumberFormat="1" applyFill="1" applyBorder="1" applyAlignment="1">
      <alignment horizontal="center"/>
    </xf>
    <xf numFmtId="22" fontId="0" fillId="0" borderId="16" xfId="0" applyNumberFormat="1" applyBorder="1"/>
    <xf numFmtId="0" fontId="1" fillId="2" borderId="1" xfId="0" applyFont="1" applyFill="1" applyBorder="1"/>
    <xf numFmtId="164" fontId="0" fillId="2" borderId="1" xfId="0" applyNumberFormat="1" applyFill="1" applyBorder="1"/>
    <xf numFmtId="14" fontId="0" fillId="2" borderId="1" xfId="0" applyNumberFormat="1" applyFill="1" applyBorder="1" applyAlignment="1">
      <alignment horizontal="center"/>
    </xf>
    <xf numFmtId="0" fontId="1" fillId="3" borderId="8" xfId="0" applyFont="1" applyFill="1" applyBorder="1"/>
    <xf numFmtId="0" fontId="0" fillId="0" borderId="19" xfId="0" applyBorder="1"/>
    <xf numFmtId="0" fontId="1" fillId="0" borderId="4" xfId="0" applyFont="1" applyBorder="1" applyAlignment="1">
      <alignment horizontal="center"/>
    </xf>
    <xf numFmtId="14" fontId="0" fillId="0" borderId="4" xfId="0" applyNumberFormat="1" applyBorder="1"/>
    <xf numFmtId="14" fontId="0" fillId="2" borderId="4" xfId="0" applyNumberFormat="1" applyFill="1" applyBorder="1"/>
    <xf numFmtId="0" fontId="0" fillId="3" borderId="4" xfId="0" applyFill="1" applyBorder="1"/>
    <xf numFmtId="164" fontId="0" fillId="0" borderId="19" xfId="0" applyNumberFormat="1" applyBorder="1"/>
    <xf numFmtId="0" fontId="0" fillId="4" borderId="0" xfId="0" applyFill="1"/>
    <xf numFmtId="164" fontId="0" fillId="4" borderId="0" xfId="0" applyNumberFormat="1" applyFill="1"/>
    <xf numFmtId="166" fontId="0" fillId="0" borderId="0" xfId="0" applyNumberFormat="1"/>
    <xf numFmtId="167" fontId="0" fillId="0" borderId="0" xfId="0" applyNumberFormat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168" fontId="0" fillId="0" borderId="0" xfId="0" applyNumberFormat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ální" xfId="0" builtinId="0"/>
  </cellStyles>
  <dxfs count="0"/>
  <tableStyles count="0" defaultTableStyle="TableStyleMedium2" defaultPivotStyle="PivotStyleLight16"/>
  <colors>
    <mruColors>
      <color rgb="FF66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50800</xdr:rowOff>
        </xdr:from>
        <xdr:to>
          <xdr:col>12</xdr:col>
          <xdr:colOff>12700</xdr:colOff>
          <xdr:row>1</xdr:row>
          <xdr:rowOff>25400</xdr:rowOff>
        </xdr:to>
        <xdr:sp macro="" textlink="">
          <xdr:nvSpPr>
            <xdr:cNvPr id="1025" name="Button 1" descr="Přepočítej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PŘEPOČÍTEJ</a:t>
              </a:r>
            </a:p>
            <a:p>
              <a:pPr algn="ctr" rtl="0">
                <a:defRPr sz="1000"/>
              </a:pPr>
              <a:r>
                <a:rPr lang="cs-CZ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Přepočítej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Office 2013–2022">
  <a:themeElements>
    <a:clrScheme name="Office 2013 –⁠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⁠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⁠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0057B2-6605-4CF8-9B38-5E4D61432461}">
  <sheetPr codeName="List1"/>
  <dimension ref="A1:Q37"/>
  <sheetViews>
    <sheetView tabSelected="1" workbookViewId="0">
      <selection activeCell="C5" sqref="C5"/>
    </sheetView>
  </sheetViews>
  <sheetFormatPr baseColWidth="10" defaultColWidth="8.83203125" defaultRowHeight="15" x14ac:dyDescent="0.2"/>
  <cols>
    <col min="1" max="1" width="10.1640625" bestFit="1" customWidth="1"/>
    <col min="2" max="2" width="17" bestFit="1" customWidth="1"/>
    <col min="3" max="3" width="11.6640625" customWidth="1"/>
    <col min="4" max="4" width="12.1640625" bestFit="1" customWidth="1"/>
    <col min="5" max="5" width="9.33203125" bestFit="1" customWidth="1"/>
    <col min="6" max="6" width="16.33203125" bestFit="1" customWidth="1"/>
    <col min="7" max="7" width="10.1640625" bestFit="1" customWidth="1"/>
    <col min="8" max="8" width="28.5" bestFit="1" customWidth="1"/>
    <col min="9" max="9" width="14" bestFit="1" customWidth="1"/>
    <col min="10" max="10" width="12.5" bestFit="1" customWidth="1"/>
    <col min="11" max="11" width="10.5" customWidth="1"/>
    <col min="12" max="12" width="14.1640625" customWidth="1"/>
    <col min="13" max="13" width="11.83203125" customWidth="1"/>
    <col min="14" max="14" width="12.1640625" style="58" customWidth="1"/>
    <col min="15" max="15" width="16.6640625" style="58" customWidth="1"/>
    <col min="16" max="16" width="9.33203125" style="58" customWidth="1"/>
    <col min="17" max="17" width="14" style="58" customWidth="1"/>
    <col min="18" max="18" width="21.6640625" bestFit="1" customWidth="1"/>
    <col min="19" max="19" width="11.5" bestFit="1" customWidth="1"/>
  </cols>
  <sheetData>
    <row r="1" spans="1:17" ht="17" thickTop="1" thickBot="1" x14ac:dyDescent="0.25">
      <c r="B1" s="5" t="s">
        <v>8</v>
      </c>
      <c r="C1" s="5" t="s">
        <v>1</v>
      </c>
      <c r="D1" s="5" t="s">
        <v>2</v>
      </c>
      <c r="E1" s="5" t="s">
        <v>7</v>
      </c>
      <c r="F1" s="5" t="s">
        <v>21</v>
      </c>
      <c r="H1" s="18" t="s">
        <v>48</v>
      </c>
      <c r="I1" s="18">
        <f>(Sources!C32) + J22</f>
        <v>56539</v>
      </c>
      <c r="M1" s="60" t="s">
        <v>146</v>
      </c>
      <c r="N1" s="59" t="s">
        <v>147</v>
      </c>
      <c r="O1" s="57" t="s">
        <v>145</v>
      </c>
      <c r="P1" s="57" t="s">
        <v>148</v>
      </c>
      <c r="Q1" s="58" t="s">
        <v>153</v>
      </c>
    </row>
    <row r="2" spans="1:17" ht="16" thickTop="1" x14ac:dyDescent="0.2">
      <c r="A2" s="22">
        <f>Sources!B4</f>
        <v>46302</v>
      </c>
      <c r="B2" s="1" t="s">
        <v>52</v>
      </c>
      <c r="C2" s="2">
        <f ca="1">IF(Sources!D4=1,Sources!C4,0)</f>
        <v>528</v>
      </c>
      <c r="D2" s="4">
        <f ca="1">(SUM(I6:I9)+I11+I12+I13)-SUM(C2:C29)</f>
        <v>6354</v>
      </c>
      <c r="E2" s="17">
        <f ca="1">Sources!G5-Sources!G1</f>
        <v>7</v>
      </c>
      <c r="F2" s="4">
        <f ca="1">D2/E2</f>
        <v>907.71428571428567</v>
      </c>
      <c r="H2" s="18" t="s">
        <v>49</v>
      </c>
      <c r="I2" s="18">
        <f>I1-J21</f>
        <v>30709</v>
      </c>
      <c r="M2" s="58" cm="1">
        <f t="array" ref="M2">SumByColor(Q1:Q29, M1)</f>
        <v>55221</v>
      </c>
      <c r="N2" s="58" cm="1">
        <f t="array" ref="N2">SumByColor(Q1:Q29, N1)</f>
        <v>0</v>
      </c>
      <c r="O2" s="57" t="s">
        <v>143</v>
      </c>
      <c r="Q2" s="60">
        <v>5010</v>
      </c>
    </row>
    <row r="3" spans="1:17" x14ac:dyDescent="0.2">
      <c r="A3" s="22">
        <f>Sources!B1</f>
        <v>46276</v>
      </c>
      <c r="B3" s="1" t="s">
        <v>22</v>
      </c>
      <c r="C3" s="2">
        <f ca="1">IF(Sources!D1=1,Sources!C1,0)</f>
        <v>0</v>
      </c>
      <c r="D3" s="6"/>
      <c r="E3" s="6"/>
      <c r="F3" s="6"/>
      <c r="M3" s="58"/>
      <c r="O3" s="57" t="s">
        <v>141</v>
      </c>
      <c r="P3" s="57" t="s">
        <v>152</v>
      </c>
      <c r="Q3" s="60">
        <v>8995</v>
      </c>
    </row>
    <row r="4" spans="1:17" x14ac:dyDescent="0.2">
      <c r="A4" s="22">
        <f>Sources!B5</f>
        <v>46276</v>
      </c>
      <c r="B4" s="1" t="s">
        <v>23</v>
      </c>
      <c r="C4" s="2">
        <f ca="1">IF(Sources!D5=1,Sources!C5,0)</f>
        <v>0</v>
      </c>
      <c r="D4" s="6"/>
      <c r="E4" s="6"/>
      <c r="F4" s="6"/>
      <c r="M4" s="58"/>
      <c r="O4" s="57" t="s">
        <v>149</v>
      </c>
      <c r="P4" s="57"/>
      <c r="Q4" s="60">
        <v>1016</v>
      </c>
    </row>
    <row r="5" spans="1:17" x14ac:dyDescent="0.2">
      <c r="A5" s="22">
        <f>Sources!B2</f>
        <v>46276</v>
      </c>
      <c r="B5" s="1" t="s">
        <v>160</v>
      </c>
      <c r="C5" s="2">
        <f ca="1">IF(Sources!D2=1,Sources!C2,0)</f>
        <v>0</v>
      </c>
      <c r="D5" s="6"/>
      <c r="E5" s="6"/>
      <c r="F5" s="6"/>
      <c r="H5" s="11"/>
      <c r="I5" s="20" t="s">
        <v>0</v>
      </c>
      <c r="J5" s="19" t="s">
        <v>37</v>
      </c>
      <c r="M5" s="58"/>
      <c r="O5" s="57" t="s">
        <v>85</v>
      </c>
      <c r="P5" s="57"/>
      <c r="Q5" s="60">
        <v>2600</v>
      </c>
    </row>
    <row r="6" spans="1:17" x14ac:dyDescent="0.2">
      <c r="A6" s="22">
        <f>Sources!B3</f>
        <v>46276</v>
      </c>
      <c r="B6" s="1" t="s">
        <v>161</v>
      </c>
      <c r="C6" s="2">
        <f ca="1">IF(Sources!D3=1,Sources!C3,0)</f>
        <v>0</v>
      </c>
      <c r="D6" s="6"/>
      <c r="E6" s="6"/>
      <c r="F6" s="6"/>
      <c r="H6" s="1" t="s">
        <v>38</v>
      </c>
      <c r="I6" s="2">
        <v>5882</v>
      </c>
      <c r="J6" s="2">
        <v>0</v>
      </c>
      <c r="M6" s="58"/>
      <c r="O6" s="57" t="s">
        <v>112</v>
      </c>
      <c r="P6" s="57"/>
      <c r="Q6" s="60">
        <v>3200</v>
      </c>
    </row>
    <row r="7" spans="1:17" x14ac:dyDescent="0.2">
      <c r="A7" s="22">
        <f>Sources!B6</f>
        <v>46280</v>
      </c>
      <c r="B7" s="1" t="s">
        <v>51</v>
      </c>
      <c r="C7" s="2">
        <f ca="1">IF(Sources!D6=1,Sources!C6,0)</f>
        <v>0</v>
      </c>
      <c r="D7" s="6"/>
      <c r="E7" s="6"/>
      <c r="F7" s="6"/>
      <c r="H7" s="1" t="s">
        <v>4</v>
      </c>
      <c r="I7" s="2">
        <v>0</v>
      </c>
      <c r="J7" s="13">
        <v>0</v>
      </c>
      <c r="K7" s="37"/>
      <c r="L7" s="12"/>
      <c r="M7" s="58"/>
      <c r="O7" s="57" t="s">
        <v>144</v>
      </c>
      <c r="P7" s="57"/>
      <c r="Q7" s="60">
        <v>2500</v>
      </c>
    </row>
    <row r="8" spans="1:17" x14ac:dyDescent="0.2">
      <c r="A8" s="22">
        <f>Sources!B7</f>
        <v>46280</v>
      </c>
      <c r="B8" s="1" t="s">
        <v>71</v>
      </c>
      <c r="C8" s="2">
        <f ca="1">IF(Sources!D7=1,Sources!C7,0)</f>
        <v>0</v>
      </c>
      <c r="D8" s="6"/>
      <c r="E8" s="6"/>
      <c r="F8" s="6"/>
      <c r="H8" s="1" t="s">
        <v>6</v>
      </c>
      <c r="I8" s="2">
        <v>0</v>
      </c>
      <c r="J8" s="2">
        <v>0</v>
      </c>
      <c r="L8" s="21"/>
      <c r="M8" s="58"/>
      <c r="O8" s="57" t="s">
        <v>150</v>
      </c>
      <c r="P8" s="57" t="s">
        <v>151</v>
      </c>
      <c r="Q8" s="60">
        <v>3200</v>
      </c>
    </row>
    <row r="9" spans="1:17" x14ac:dyDescent="0.2">
      <c r="A9" s="22">
        <f>Sources!B8</f>
        <v>46280</v>
      </c>
      <c r="B9" s="1" t="s">
        <v>103</v>
      </c>
      <c r="C9" s="2">
        <f ca="1">IF(Sources!D8=1,Sources!C8,0)</f>
        <v>0</v>
      </c>
      <c r="D9" s="6"/>
      <c r="E9" s="6"/>
      <c r="F9" s="6"/>
      <c r="H9" s="1" t="s">
        <v>5</v>
      </c>
      <c r="I9" s="2">
        <v>1000</v>
      </c>
      <c r="J9" s="13">
        <v>0</v>
      </c>
      <c r="M9" s="58"/>
      <c r="O9" s="57" t="s">
        <v>113</v>
      </c>
      <c r="P9" s="57"/>
      <c r="Q9" s="60">
        <v>1800</v>
      </c>
    </row>
    <row r="10" spans="1:17" x14ac:dyDescent="0.2">
      <c r="A10" s="22">
        <f>Sources!B9</f>
        <v>46280</v>
      </c>
      <c r="B10" s="1" t="s">
        <v>159</v>
      </c>
      <c r="C10" s="2">
        <f ca="1">IF(Sources!D9=1,Sources!C9,0)</f>
        <v>0</v>
      </c>
      <c r="D10" s="6"/>
      <c r="E10" s="6"/>
      <c r="F10" s="6"/>
      <c r="H10" s="1" t="s">
        <v>25</v>
      </c>
      <c r="I10" s="2">
        <v>1526</v>
      </c>
      <c r="J10" s="13">
        <v>0</v>
      </c>
      <c r="M10" s="58"/>
      <c r="O10" s="58" t="s">
        <v>154</v>
      </c>
      <c r="Q10" s="60">
        <v>500</v>
      </c>
    </row>
    <row r="11" spans="1:17" x14ac:dyDescent="0.2">
      <c r="A11" s="22">
        <f>Sources!B10</f>
        <v>46290</v>
      </c>
      <c r="B11" s="1" t="s">
        <v>11</v>
      </c>
      <c r="C11" s="2">
        <f ca="1">IF(Sources!D10=1,Sources!C10,0)</f>
        <v>0</v>
      </c>
      <c r="D11" s="6"/>
      <c r="E11" s="6"/>
      <c r="F11" s="6"/>
      <c r="H11" s="1" t="s">
        <v>65</v>
      </c>
      <c r="I11" s="2">
        <v>0</v>
      </c>
      <c r="J11" s="2">
        <v>0</v>
      </c>
      <c r="M11" s="58"/>
      <c r="O11" s="58" t="s">
        <v>142</v>
      </c>
      <c r="Q11" s="60">
        <v>1200</v>
      </c>
    </row>
    <row r="12" spans="1:17" x14ac:dyDescent="0.2">
      <c r="A12" s="22">
        <f>Sources!B11</f>
        <v>46282</v>
      </c>
      <c r="B12" s="1" t="s">
        <v>15</v>
      </c>
      <c r="C12" s="2">
        <f ca="1">IF(Sources!D11=1,Sources!C11,0)</f>
        <v>0</v>
      </c>
      <c r="D12" s="6"/>
      <c r="E12" s="6"/>
      <c r="F12" s="6"/>
      <c r="H12" s="1" t="s">
        <v>90</v>
      </c>
      <c r="I12" s="2">
        <v>0</v>
      </c>
      <c r="J12" s="2">
        <v>0</v>
      </c>
      <c r="M12" s="58"/>
      <c r="O12" s="58" t="s">
        <v>163</v>
      </c>
      <c r="Q12" s="60">
        <v>10000</v>
      </c>
    </row>
    <row r="13" spans="1:17" x14ac:dyDescent="0.2">
      <c r="A13" s="22">
        <f>Sources!B12</f>
        <v>46282</v>
      </c>
      <c r="B13" s="1" t="s">
        <v>16</v>
      </c>
      <c r="C13" s="2">
        <f ca="1">IF(Sources!D12=1,Sources!C12,0)</f>
        <v>0</v>
      </c>
      <c r="D13" s="6"/>
      <c r="E13" s="6"/>
      <c r="F13" s="6"/>
      <c r="H13" s="1" t="s">
        <v>100</v>
      </c>
      <c r="I13" s="2">
        <v>0</v>
      </c>
      <c r="J13" s="2">
        <v>357000</v>
      </c>
      <c r="M13" s="58"/>
      <c r="O13" s="58" t="s">
        <v>113</v>
      </c>
      <c r="Q13" s="60">
        <v>3000</v>
      </c>
    </row>
    <row r="14" spans="1:17" x14ac:dyDescent="0.2">
      <c r="A14" s="22">
        <f>Sources!B13</f>
        <v>46282</v>
      </c>
      <c r="B14" s="1" t="s">
        <v>17</v>
      </c>
      <c r="C14" s="2">
        <f ca="1">IF(Sources!D13=1,Sources!C13,0)</f>
        <v>0</v>
      </c>
      <c r="D14" s="6"/>
      <c r="E14" s="6"/>
      <c r="F14" s="6"/>
      <c r="M14" s="58"/>
      <c r="O14" s="58" t="s">
        <v>164</v>
      </c>
      <c r="Q14" s="60">
        <v>1500</v>
      </c>
    </row>
    <row r="15" spans="1:17" x14ac:dyDescent="0.2">
      <c r="A15" s="22">
        <f>Sources!B14</f>
        <v>46289</v>
      </c>
      <c r="B15" s="1" t="s">
        <v>18</v>
      </c>
      <c r="C15" s="2">
        <f ca="1">IF(Sources!D14=1,Sources!C14,0)</f>
        <v>0</v>
      </c>
      <c r="D15" s="6"/>
      <c r="E15" s="6"/>
      <c r="F15" s="6"/>
      <c r="H15" s="11"/>
      <c r="I15" s="7" t="s">
        <v>27</v>
      </c>
      <c r="J15" s="7" t="s">
        <v>29</v>
      </c>
      <c r="K15" s="7" t="s">
        <v>31</v>
      </c>
      <c r="L15" s="48" t="s">
        <v>28</v>
      </c>
      <c r="O15" s="58" t="s">
        <v>112</v>
      </c>
      <c r="Q15" s="60">
        <v>1400</v>
      </c>
    </row>
    <row r="16" spans="1:17" x14ac:dyDescent="0.2">
      <c r="A16" s="22">
        <f>Sources!B15</f>
        <v>46282</v>
      </c>
      <c r="B16" s="1" t="s">
        <v>19</v>
      </c>
      <c r="C16" s="2">
        <f ca="1">IF(Sources!D15=1,Sources!C15,0)</f>
        <v>0</v>
      </c>
      <c r="D16" s="6"/>
      <c r="E16" s="6"/>
      <c r="F16" s="6"/>
      <c r="H16" s="43" t="s">
        <v>25</v>
      </c>
      <c r="I16" s="44">
        <v>0</v>
      </c>
      <c r="J16" s="44">
        <v>0</v>
      </c>
      <c r="K16" s="45" t="s">
        <v>32</v>
      </c>
      <c r="L16" s="50">
        <v>46039</v>
      </c>
      <c r="O16" s="58" t="s">
        <v>112</v>
      </c>
      <c r="Q16" s="60">
        <v>2000</v>
      </c>
    </row>
    <row r="17" spans="1:17" x14ac:dyDescent="0.2">
      <c r="A17" s="22">
        <f>Sources!B16</f>
        <v>46282</v>
      </c>
      <c r="B17" s="1" t="s">
        <v>20</v>
      </c>
      <c r="C17" s="2">
        <f ca="1">IF(Sources!D16=1,Sources!C16,0)</f>
        <v>0</v>
      </c>
      <c r="D17" s="6"/>
      <c r="E17" s="6"/>
      <c r="F17" s="6"/>
      <c r="H17" s="43" t="s">
        <v>25</v>
      </c>
      <c r="I17" s="44">
        <v>0</v>
      </c>
      <c r="J17" s="44">
        <v>0</v>
      </c>
      <c r="K17" s="45" t="s">
        <v>35</v>
      </c>
      <c r="L17" s="50">
        <v>45523</v>
      </c>
      <c r="O17" s="58" t="s">
        <v>168</v>
      </c>
      <c r="Q17" s="60">
        <v>2000</v>
      </c>
    </row>
    <row r="18" spans="1:17" x14ac:dyDescent="0.2">
      <c r="A18" s="22">
        <f>Sources!B17</f>
        <v>46284</v>
      </c>
      <c r="B18" s="1" t="s">
        <v>69</v>
      </c>
      <c r="C18" s="2">
        <f ca="1">IF(Sources!D17=1,Sources!C17,0)</f>
        <v>0</v>
      </c>
      <c r="D18" s="6"/>
      <c r="E18" s="6"/>
      <c r="F18" s="6"/>
      <c r="H18" s="8" t="s">
        <v>100</v>
      </c>
      <c r="I18" s="2">
        <v>300000</v>
      </c>
      <c r="J18" s="2">
        <v>5564</v>
      </c>
      <c r="K18" s="10" t="s">
        <v>162</v>
      </c>
      <c r="L18" s="49">
        <v>48075</v>
      </c>
      <c r="O18" s="58" t="s">
        <v>169</v>
      </c>
      <c r="Q18" s="60">
        <v>3800</v>
      </c>
    </row>
    <row r="19" spans="1:17" x14ac:dyDescent="0.2">
      <c r="A19" s="22">
        <f>Sources!B18</f>
        <v>46284</v>
      </c>
      <c r="B19" s="1" t="s">
        <v>70</v>
      </c>
      <c r="C19" s="2">
        <f ca="1">IF(Sources!D18=1,Sources!C18,0)</f>
        <v>0</v>
      </c>
      <c r="D19" s="6"/>
      <c r="E19" s="6"/>
      <c r="F19" s="6"/>
      <c r="H19" s="8" t="s">
        <v>4</v>
      </c>
      <c r="I19" s="2">
        <v>39253</v>
      </c>
      <c r="J19" s="2">
        <v>6627</v>
      </c>
      <c r="K19" s="10" t="s">
        <v>30</v>
      </c>
      <c r="L19" s="49">
        <v>46441</v>
      </c>
      <c r="O19" s="58" t="s">
        <v>167</v>
      </c>
      <c r="Q19" s="60">
        <v>1500</v>
      </c>
    </row>
    <row r="20" spans="1:17" x14ac:dyDescent="0.2">
      <c r="A20" s="22">
        <f>Sources!B19</f>
        <v>46285</v>
      </c>
      <c r="B20" s="1" t="s">
        <v>10</v>
      </c>
      <c r="C20" s="2">
        <f ca="1">IF(Sources!D19=1,Sources!C19,0)</f>
        <v>0</v>
      </c>
      <c r="D20" s="6"/>
      <c r="E20" s="6"/>
      <c r="F20" s="6"/>
      <c r="H20" s="8" t="s">
        <v>3</v>
      </c>
      <c r="I20" s="2">
        <v>2065726</v>
      </c>
      <c r="J20" s="2">
        <v>13639</v>
      </c>
      <c r="K20" s="10" t="s">
        <v>33</v>
      </c>
      <c r="L20" s="49">
        <v>53924</v>
      </c>
    </row>
    <row r="21" spans="1:17" x14ac:dyDescent="0.2">
      <c r="A21" s="22">
        <f>Sources!B20</f>
        <v>46254</v>
      </c>
      <c r="B21" s="1" t="s">
        <v>24</v>
      </c>
      <c r="C21" s="2">
        <f ca="1">IF(Sources!D20=1,Sources!C20,0)</f>
        <v>0</v>
      </c>
      <c r="D21" s="6"/>
      <c r="E21" s="6"/>
      <c r="F21" s="6"/>
      <c r="H21" s="1" t="s">
        <v>26</v>
      </c>
      <c r="I21" s="2">
        <f>SUM(I16:I20)</f>
        <v>2404979</v>
      </c>
      <c r="J21" s="2">
        <f>SUM(J16:J20)</f>
        <v>25830</v>
      </c>
      <c r="K21" s="11"/>
      <c r="L21" s="51"/>
    </row>
    <row r="22" spans="1:17" x14ac:dyDescent="0.2">
      <c r="A22" s="22">
        <f>Sources!B21</f>
        <v>46289</v>
      </c>
      <c r="B22" s="1" t="s">
        <v>12</v>
      </c>
      <c r="C22" s="2">
        <f ca="1">IF(Sources!D21=1,Sources!C21,0)</f>
        <v>0</v>
      </c>
      <c r="D22" s="6"/>
      <c r="E22" s="6"/>
      <c r="F22" s="6"/>
      <c r="H22" s="63" t="s">
        <v>50</v>
      </c>
      <c r="I22" s="64"/>
      <c r="J22" s="2">
        <v>2800</v>
      </c>
    </row>
    <row r="23" spans="1:17" x14ac:dyDescent="0.2">
      <c r="A23" s="22">
        <f>Sources!B22</f>
        <v>46287</v>
      </c>
      <c r="B23" s="1" t="s">
        <v>72</v>
      </c>
      <c r="C23" s="2">
        <f ca="1">IF(Sources!D22=1,Sources!C22,0)</f>
        <v>0</v>
      </c>
      <c r="D23" s="6"/>
      <c r="E23" s="6"/>
      <c r="F23" s="6"/>
    </row>
    <row r="24" spans="1:17" x14ac:dyDescent="0.2">
      <c r="A24" s="22">
        <f>Sources!B23</f>
        <v>46289</v>
      </c>
      <c r="B24" s="1" t="s">
        <v>13</v>
      </c>
      <c r="C24" s="2">
        <f ca="1">IF(Sources!D23=1,Sources!C23,0)</f>
        <v>0</v>
      </c>
      <c r="D24" s="6"/>
      <c r="E24" s="6"/>
      <c r="F24" s="6"/>
    </row>
    <row r="25" spans="1:17" x14ac:dyDescent="0.2">
      <c r="A25" s="22">
        <f>Sources!B24</f>
        <v>46289</v>
      </c>
      <c r="B25" s="1" t="s">
        <v>14</v>
      </c>
      <c r="C25" s="2">
        <f ca="1">IF(Sources!D24=1,Sources!C24,0)</f>
        <v>0</v>
      </c>
      <c r="D25" s="6"/>
      <c r="E25" s="6"/>
      <c r="F25" s="6"/>
    </row>
    <row r="26" spans="1:17" x14ac:dyDescent="0.2">
      <c r="A26" s="22">
        <f>Sources!B25</f>
        <v>46288</v>
      </c>
      <c r="B26" s="1" t="s">
        <v>9</v>
      </c>
      <c r="C26" s="2">
        <f ca="1">IF(Sources!D25=1,Sources!C25,0)</f>
        <v>0</v>
      </c>
      <c r="D26" s="6"/>
      <c r="E26" s="6"/>
      <c r="F26" s="6"/>
    </row>
    <row r="27" spans="1:17" x14ac:dyDescent="0.2">
      <c r="A27" s="22">
        <f>Sources!B26</f>
        <v>46262</v>
      </c>
      <c r="B27" s="1" t="s">
        <v>34</v>
      </c>
      <c r="C27" s="2">
        <f ca="1">IF(Sources!D26=1,Sources!C26,0)</f>
        <v>0</v>
      </c>
      <c r="D27" s="6"/>
      <c r="E27" s="6"/>
      <c r="F27" s="6"/>
      <c r="H27" s="65" t="s">
        <v>99</v>
      </c>
      <c r="I27" s="65"/>
      <c r="J27" s="65"/>
    </row>
    <row r="28" spans="1:17" x14ac:dyDescent="0.2">
      <c r="A28" s="22">
        <f>Sources!B27</f>
        <v>46289</v>
      </c>
      <c r="B28" s="1" t="s">
        <v>68</v>
      </c>
      <c r="C28" s="2">
        <f ca="1">IF(Sources!D27=1,Sources!C27,0)</f>
        <v>0</v>
      </c>
      <c r="D28" s="6"/>
      <c r="E28" s="6"/>
      <c r="F28" s="6"/>
      <c r="H28" s="41">
        <f>SUM(J28:J33)</f>
        <v>1052869.3999999999</v>
      </c>
      <c r="I28" s="40" t="s">
        <v>140</v>
      </c>
      <c r="J28" s="2">
        <v>504590</v>
      </c>
    </row>
    <row r="29" spans="1:17" ht="16" thickBot="1" x14ac:dyDescent="0.25">
      <c r="A29" s="22">
        <f>Sources!B28</f>
        <v>46293</v>
      </c>
      <c r="B29" s="1" t="s">
        <v>53</v>
      </c>
      <c r="C29" s="2">
        <f ca="1">IF(Sources!D28=1,Sources!C28,0)</f>
        <v>0</v>
      </c>
      <c r="D29" s="6"/>
      <c r="E29" s="6"/>
      <c r="F29" s="6"/>
      <c r="H29" s="38"/>
      <c r="I29" s="40" t="s">
        <v>96</v>
      </c>
      <c r="J29" s="2">
        <f>L35</f>
        <v>356684.4</v>
      </c>
      <c r="N29" s="61" t="s">
        <v>155</v>
      </c>
      <c r="O29" s="2">
        <v>15500</v>
      </c>
      <c r="P29" s="58" t="s">
        <v>157</v>
      </c>
      <c r="Q29" s="2">
        <f>O29-SUM(O31:O36)</f>
        <v>10500</v>
      </c>
    </row>
    <row r="30" spans="1:17" ht="17" thickTop="1" thickBot="1" x14ac:dyDescent="0.25">
      <c r="B30" s="5" t="s">
        <v>8</v>
      </c>
      <c r="C30" s="5" t="s">
        <v>1</v>
      </c>
      <c r="D30" s="5" t="s">
        <v>2</v>
      </c>
      <c r="E30" s="5" t="s">
        <v>7</v>
      </c>
      <c r="F30" s="5" t="s">
        <v>21</v>
      </c>
      <c r="H30" s="38"/>
      <c r="I30" s="40" t="s">
        <v>170</v>
      </c>
      <c r="J30" s="2">
        <v>101547</v>
      </c>
    </row>
    <row r="31" spans="1:17" ht="16" thickTop="1" x14ac:dyDescent="0.2">
      <c r="A31" s="22">
        <f>Sources!B30</f>
        <v>46039</v>
      </c>
      <c r="B31" s="3" t="s">
        <v>43</v>
      </c>
      <c r="C31" s="4">
        <f ca="1">IF(Sources!D30=1,Sources!C30,0)</f>
        <v>0</v>
      </c>
      <c r="D31" s="4">
        <f>I10</f>
        <v>1526</v>
      </c>
      <c r="E31" s="17">
        <f ca="1">Sources!G5-Sources!G1</f>
        <v>7</v>
      </c>
      <c r="F31" s="4">
        <f ca="1">D31/E31</f>
        <v>218</v>
      </c>
      <c r="H31" s="39"/>
      <c r="I31" s="18" t="s">
        <v>97</v>
      </c>
      <c r="J31" s="2">
        <f>(K31*24)+L31</f>
        <v>88848</v>
      </c>
      <c r="K31" s="55">
        <v>3627</v>
      </c>
      <c r="L31" s="12">
        <v>1800</v>
      </c>
      <c r="N31" s="58" t="s">
        <v>156</v>
      </c>
      <c r="O31" s="2">
        <v>3000</v>
      </c>
      <c r="P31" s="62" t="s">
        <v>158</v>
      </c>
    </row>
    <row r="32" spans="1:17" x14ac:dyDescent="0.2">
      <c r="A32" s="22">
        <f>Sources!B31</f>
        <v>45554</v>
      </c>
      <c r="B32" s="1" t="s">
        <v>42</v>
      </c>
      <c r="C32" s="4">
        <f ca="1">IF(Sources!D31=1,Sources!C31,0)</f>
        <v>0</v>
      </c>
      <c r="D32" s="6"/>
      <c r="E32" s="6"/>
      <c r="F32" s="6"/>
      <c r="I32" s="18" t="s">
        <v>98</v>
      </c>
      <c r="J32" s="2">
        <v>1200</v>
      </c>
      <c r="O32" s="2">
        <v>2000</v>
      </c>
      <c r="P32" s="62" t="s">
        <v>166</v>
      </c>
    </row>
    <row r="33" spans="2:16" x14ac:dyDescent="0.2">
      <c r="I33" s="18" t="s">
        <v>127</v>
      </c>
      <c r="J33" s="2">
        <v>0</v>
      </c>
      <c r="K33" s="56"/>
      <c r="O33" s="2"/>
      <c r="P33" s="62"/>
    </row>
    <row r="34" spans="2:16" x14ac:dyDescent="0.2">
      <c r="O34" s="2"/>
      <c r="P34" s="62"/>
    </row>
    <row r="35" spans="2:16" x14ac:dyDescent="0.2">
      <c r="I35" s="40" t="s">
        <v>96</v>
      </c>
      <c r="J35" s="2">
        <v>594474</v>
      </c>
      <c r="K35" t="s">
        <v>165</v>
      </c>
      <c r="L35" s="2">
        <f>(J35/5)*3</f>
        <v>356684.4</v>
      </c>
      <c r="O35" s="2"/>
      <c r="P35" s="62"/>
    </row>
    <row r="36" spans="2:16" x14ac:dyDescent="0.2">
      <c r="B36">
        <v>54967533</v>
      </c>
      <c r="K36" t="s">
        <v>75</v>
      </c>
      <c r="L36" s="2">
        <f>(J35/5)</f>
        <v>118894.8</v>
      </c>
      <c r="O36" s="2"/>
      <c r="P36" s="62"/>
    </row>
    <row r="37" spans="2:16" x14ac:dyDescent="0.2">
      <c r="K37" t="s">
        <v>73</v>
      </c>
      <c r="L37" s="2">
        <f>(J35/5)</f>
        <v>118894.8</v>
      </c>
    </row>
  </sheetData>
  <mergeCells count="2">
    <mergeCell ref="H22:I22"/>
    <mergeCell ref="H27:J27"/>
  </mergeCells>
  <pageMargins left="0.7" right="0.7" top="0.78740157499999996" bottom="0.78740157499999996" header="0.3" footer="0.3"/>
  <pageSetup paperSize="9" orientation="portrait" r:id="rId1"/>
  <ignoredErrors>
    <ignoredError sqref="C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pocitejBarvy" altText="Přepočítej">
                <anchor moveWithCells="1" sizeWithCells="1">
                  <from>
                    <xdr:col>11</xdr:col>
                    <xdr:colOff>0</xdr:colOff>
                    <xdr:row>0</xdr:row>
                    <xdr:rowOff>50800</xdr:rowOff>
                  </from>
                  <to>
                    <xdr:col>12</xdr:col>
                    <xdr:colOff>12700</xdr:colOff>
                    <xdr:row>1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37F17-0BC3-45AF-9145-2B2D4BDED0A3}">
  <sheetPr codeName="List2"/>
  <dimension ref="A1:R40"/>
  <sheetViews>
    <sheetView workbookViewId="0">
      <selection activeCell="C32" sqref="C32"/>
    </sheetView>
  </sheetViews>
  <sheetFormatPr baseColWidth="10" defaultColWidth="8.83203125" defaultRowHeight="15" x14ac:dyDescent="0.2"/>
  <cols>
    <col min="1" max="1" width="16.33203125" bestFit="1" customWidth="1"/>
    <col min="2" max="2" width="14.33203125" bestFit="1" customWidth="1"/>
    <col min="3" max="3" width="11.5" bestFit="1" customWidth="1"/>
    <col min="4" max="4" width="10.1640625" bestFit="1" customWidth="1"/>
    <col min="5" max="5" width="14" bestFit="1" customWidth="1"/>
    <col min="6" max="6" width="14.5" bestFit="1" customWidth="1"/>
    <col min="7" max="7" width="15.33203125" bestFit="1" customWidth="1"/>
    <col min="9" max="9" width="16.5" bestFit="1" customWidth="1"/>
    <col min="10" max="10" width="14.33203125" bestFit="1" customWidth="1"/>
    <col min="13" max="13" width="14" style="16" bestFit="1" customWidth="1"/>
    <col min="15" max="15" width="14" bestFit="1" customWidth="1"/>
    <col min="16" max="16" width="15.33203125" bestFit="1" customWidth="1"/>
    <col min="17" max="17" width="9.33203125" bestFit="1" customWidth="1"/>
  </cols>
  <sheetData>
    <row r="1" spans="1:18" x14ac:dyDescent="0.2">
      <c r="A1" s="11" t="s">
        <v>22</v>
      </c>
      <c r="B1" s="9">
        <v>46276</v>
      </c>
      <c r="C1" s="2">
        <v>700</v>
      </c>
      <c r="D1" s="1">
        <f t="shared" ref="D1:D31" ca="1" si="0">IF(B1&gt;G$1,1,0)</f>
        <v>0</v>
      </c>
      <c r="F1" s="15" t="s">
        <v>39</v>
      </c>
      <c r="G1" s="16">
        <f ca="1">TODAY()</f>
        <v>46298</v>
      </c>
      <c r="I1" s="15" t="s">
        <v>40</v>
      </c>
      <c r="J1" s="14">
        <f>EDATE(B1,1)</f>
        <v>46306</v>
      </c>
      <c r="M1" s="9">
        <v>46276</v>
      </c>
      <c r="O1" t="e">
        <f ca="1">IF(Finance!#REF!&gt;Sources!$P$1,Finance!#REF!,0)</f>
        <v>#REF!</v>
      </c>
      <c r="P1" s="16">
        <f ca="1">TODAY()-365</f>
        <v>45933</v>
      </c>
      <c r="Q1" t="s">
        <v>105</v>
      </c>
      <c r="R1" t="s">
        <v>106</v>
      </c>
    </row>
    <row r="2" spans="1:18" x14ac:dyDescent="0.2">
      <c r="A2" s="11" t="s">
        <v>160</v>
      </c>
      <c r="B2" s="9">
        <v>46276</v>
      </c>
      <c r="C2" s="2">
        <v>1000</v>
      </c>
      <c r="D2" s="1">
        <f t="shared" ref="D2:D3" ca="1" si="1">IF(B2&gt;G$1,1,0)</f>
        <v>0</v>
      </c>
      <c r="F2" s="15"/>
      <c r="G2" s="16"/>
      <c r="I2" s="15"/>
      <c r="J2" s="14">
        <f t="shared" ref="J2:J3" si="2">EDATE(B2,1)</f>
        <v>46306</v>
      </c>
      <c r="M2" s="9">
        <v>46276</v>
      </c>
      <c r="P2" s="16"/>
    </row>
    <row r="3" spans="1:18" x14ac:dyDescent="0.2">
      <c r="A3" s="11" t="s">
        <v>161</v>
      </c>
      <c r="B3" s="9">
        <v>46276</v>
      </c>
      <c r="C3" s="2">
        <v>1000</v>
      </c>
      <c r="D3" s="1">
        <f t="shared" ca="1" si="1"/>
        <v>0</v>
      </c>
      <c r="F3" s="15"/>
      <c r="G3" s="16"/>
      <c r="I3" s="15"/>
      <c r="J3" s="14">
        <f t="shared" si="2"/>
        <v>46306</v>
      </c>
      <c r="M3" s="9">
        <v>46276</v>
      </c>
      <c r="P3" s="16"/>
    </row>
    <row r="4" spans="1:18" x14ac:dyDescent="0.2">
      <c r="A4" s="11" t="s">
        <v>52</v>
      </c>
      <c r="B4" s="9">
        <v>46302</v>
      </c>
      <c r="C4" s="2">
        <v>528</v>
      </c>
      <c r="D4" s="1">
        <f t="shared" ca="1" si="0"/>
        <v>1</v>
      </c>
      <c r="F4" s="15"/>
      <c r="G4" s="16"/>
      <c r="I4" s="15"/>
      <c r="J4" s="14">
        <f>EDATE(B4,1)</f>
        <v>46333</v>
      </c>
      <c r="M4" s="9">
        <v>46302</v>
      </c>
      <c r="O4" t="e">
        <f ca="1">IF(Finance!#REF!&gt;Sources!$P$1,Finance!#REF!,0)</f>
        <v>#REF!</v>
      </c>
    </row>
    <row r="5" spans="1:18" x14ac:dyDescent="0.2">
      <c r="A5" s="11" t="s">
        <v>23</v>
      </c>
      <c r="B5" s="9">
        <v>46276</v>
      </c>
      <c r="C5" s="2">
        <v>700</v>
      </c>
      <c r="D5" s="1">
        <f t="shared" ca="1" si="0"/>
        <v>0</v>
      </c>
      <c r="F5" s="15" t="s">
        <v>41</v>
      </c>
      <c r="G5" s="16">
        <v>46305</v>
      </c>
      <c r="J5" s="14">
        <f t="shared" ref="J5:J9" si="3">EDATE(B5,1)</f>
        <v>46306</v>
      </c>
      <c r="M5" s="9">
        <v>46276</v>
      </c>
      <c r="O5" t="e">
        <f ca="1">IF(Finance!#REF!&gt;Sources!$P$1,Finance!#REF!,0)</f>
        <v>#REF!</v>
      </c>
    </row>
    <row r="6" spans="1:18" x14ac:dyDescent="0.2">
      <c r="A6" s="11" t="s">
        <v>51</v>
      </c>
      <c r="B6" s="9">
        <v>46280</v>
      </c>
      <c r="C6" s="2">
        <v>199</v>
      </c>
      <c r="D6" s="1">
        <f t="shared" ca="1" si="0"/>
        <v>0</v>
      </c>
      <c r="F6" s="15"/>
      <c r="G6" s="16"/>
      <c r="J6" s="14">
        <f t="shared" si="3"/>
        <v>46310</v>
      </c>
      <c r="M6" s="9">
        <v>46280</v>
      </c>
      <c r="O6" t="e">
        <f ca="1">IF(Finance!#REF!&gt;Sources!$P$1,Finance!#REF!,0)</f>
        <v>#REF!</v>
      </c>
    </row>
    <row r="7" spans="1:18" x14ac:dyDescent="0.2">
      <c r="A7" s="11" t="s">
        <v>71</v>
      </c>
      <c r="B7" s="9">
        <v>46280</v>
      </c>
      <c r="C7" s="2">
        <v>259</v>
      </c>
      <c r="D7" s="1">
        <f t="shared" ca="1" si="0"/>
        <v>0</v>
      </c>
      <c r="F7" s="15"/>
      <c r="G7" s="16"/>
      <c r="J7" s="14">
        <f t="shared" si="3"/>
        <v>46310</v>
      </c>
      <c r="M7" s="9">
        <v>46280</v>
      </c>
      <c r="O7" t="e">
        <f ca="1">IF(Finance!#REF!&gt;Sources!$P$1,Finance!#REF!,0)</f>
        <v>#REF!</v>
      </c>
    </row>
    <row r="8" spans="1:18" x14ac:dyDescent="0.2">
      <c r="A8" s="11" t="s">
        <v>103</v>
      </c>
      <c r="B8" s="9">
        <v>46280</v>
      </c>
      <c r="C8" s="2">
        <v>2000</v>
      </c>
      <c r="D8" s="1">
        <f t="shared" ca="1" si="0"/>
        <v>0</v>
      </c>
      <c r="J8" s="14">
        <f t="shared" si="3"/>
        <v>46310</v>
      </c>
      <c r="M8" s="9">
        <v>46280</v>
      </c>
      <c r="O8" t="e">
        <f ca="1">IF(Finance!#REF!&gt;Sources!$P$1,Finance!#REF!,0)</f>
        <v>#REF!</v>
      </c>
    </row>
    <row r="9" spans="1:18" x14ac:dyDescent="0.2">
      <c r="A9" s="11" t="s">
        <v>159</v>
      </c>
      <c r="B9" s="9">
        <v>46280</v>
      </c>
      <c r="C9" s="2">
        <v>5564</v>
      </c>
      <c r="D9" s="1">
        <f t="shared" ref="D9" ca="1" si="4">IF(B9&gt;G$1,1,0)</f>
        <v>0</v>
      </c>
      <c r="J9" s="14">
        <f t="shared" si="3"/>
        <v>46310</v>
      </c>
      <c r="M9" s="9">
        <v>46280</v>
      </c>
    </row>
    <row r="10" spans="1:18" x14ac:dyDescent="0.2">
      <c r="A10" s="11" t="s">
        <v>11</v>
      </c>
      <c r="B10" s="9">
        <v>46290</v>
      </c>
      <c r="C10" s="2">
        <v>2300</v>
      </c>
      <c r="D10" s="1">
        <f t="shared" ca="1" si="0"/>
        <v>0</v>
      </c>
      <c r="J10" s="14">
        <f t="shared" ref="J10:J31" si="5">EDATE(B10,1)</f>
        <v>46320</v>
      </c>
      <c r="M10" s="9">
        <v>46290</v>
      </c>
      <c r="O10" t="e">
        <f ca="1">IF(Finance!#REF!&gt;Sources!$P$1,Finance!#REF!,0)</f>
        <v>#REF!</v>
      </c>
    </row>
    <row r="11" spans="1:18" x14ac:dyDescent="0.2">
      <c r="A11" s="11" t="s">
        <v>15</v>
      </c>
      <c r="B11" s="9">
        <v>46282</v>
      </c>
      <c r="C11" s="2">
        <v>135</v>
      </c>
      <c r="D11" s="1">
        <f t="shared" ca="1" si="0"/>
        <v>0</v>
      </c>
      <c r="F11" t="s">
        <v>66</v>
      </c>
      <c r="G11" s="2">
        <v>13500</v>
      </c>
      <c r="J11" s="14">
        <f t="shared" si="5"/>
        <v>46312</v>
      </c>
      <c r="M11" s="9">
        <v>46282</v>
      </c>
      <c r="O11" t="e">
        <f ca="1">IF(Finance!#REF!&gt;Sources!$P$1,Finance!#REF!,0)</f>
        <v>#REF!</v>
      </c>
    </row>
    <row r="12" spans="1:18" x14ac:dyDescent="0.2">
      <c r="A12" s="11" t="s">
        <v>16</v>
      </c>
      <c r="B12" s="9">
        <v>46282</v>
      </c>
      <c r="C12" s="2">
        <v>500</v>
      </c>
      <c r="D12" s="1">
        <f t="shared" ca="1" si="0"/>
        <v>0</v>
      </c>
      <c r="F12" t="s">
        <v>29</v>
      </c>
      <c r="G12">
        <v>6306</v>
      </c>
      <c r="J12" s="14">
        <f t="shared" si="5"/>
        <v>46312</v>
      </c>
      <c r="M12" s="9">
        <v>46282</v>
      </c>
      <c r="O12" t="e">
        <f ca="1">IF(Finance!#REF!&gt;Sources!$P$1,Finance!#REF!,0)</f>
        <v>#REF!</v>
      </c>
    </row>
    <row r="13" spans="1:18" x14ac:dyDescent="0.2">
      <c r="A13" s="11" t="s">
        <v>17</v>
      </c>
      <c r="B13" s="9">
        <v>46282</v>
      </c>
      <c r="C13" s="2">
        <v>45</v>
      </c>
      <c r="D13" s="1">
        <f t="shared" ca="1" si="0"/>
        <v>0</v>
      </c>
      <c r="G13" s="12">
        <f>G11-G12</f>
        <v>7194</v>
      </c>
      <c r="J13" s="14">
        <f t="shared" si="5"/>
        <v>46312</v>
      </c>
      <c r="M13" s="9">
        <v>46282</v>
      </c>
      <c r="O13" t="e">
        <f ca="1">IF(Finance!#REF!&gt;Sources!$P$1,Finance!#REF!,0)</f>
        <v>#REF!</v>
      </c>
    </row>
    <row r="14" spans="1:18" x14ac:dyDescent="0.2">
      <c r="A14" s="11" t="s">
        <v>18</v>
      </c>
      <c r="B14" s="9">
        <v>46289</v>
      </c>
      <c r="C14" s="2">
        <v>200</v>
      </c>
      <c r="D14" s="1">
        <f t="shared" ca="1" si="0"/>
        <v>0</v>
      </c>
      <c r="J14" s="14">
        <f t="shared" si="5"/>
        <v>46319</v>
      </c>
      <c r="M14" s="9">
        <v>46289</v>
      </c>
      <c r="O14" t="e">
        <f ca="1">IF(Finance!#REF!&gt;Sources!$P$1,Finance!#REF!,0)</f>
        <v>#REF!</v>
      </c>
    </row>
    <row r="15" spans="1:18" x14ac:dyDescent="0.2">
      <c r="A15" s="11" t="s">
        <v>19</v>
      </c>
      <c r="B15" s="9">
        <v>46282</v>
      </c>
      <c r="C15" s="2">
        <v>1700</v>
      </c>
      <c r="D15" s="1">
        <f t="shared" ca="1" si="0"/>
        <v>0</v>
      </c>
      <c r="J15" s="14">
        <f t="shared" si="5"/>
        <v>46312</v>
      </c>
      <c r="M15" s="9">
        <v>46282</v>
      </c>
      <c r="O15" t="e">
        <f ca="1">IF(Finance!#REF!&gt;Sources!$P$1,Finance!#REF!,0)</f>
        <v>#REF!</v>
      </c>
    </row>
    <row r="16" spans="1:18" x14ac:dyDescent="0.2">
      <c r="A16" s="11" t="s">
        <v>20</v>
      </c>
      <c r="B16" s="9">
        <v>46282</v>
      </c>
      <c r="C16" s="2">
        <v>500</v>
      </c>
      <c r="D16" s="1">
        <f t="shared" ca="1" si="0"/>
        <v>0</v>
      </c>
      <c r="J16" s="14">
        <f t="shared" si="5"/>
        <v>46312</v>
      </c>
      <c r="M16" s="9">
        <v>46282</v>
      </c>
      <c r="O16" t="e">
        <f ca="1">IF(Finance!#REF!&gt;Sources!$P$1,Finance!#REF!,0)</f>
        <v>#REF!</v>
      </c>
    </row>
    <row r="17" spans="1:15" x14ac:dyDescent="0.2">
      <c r="A17" s="11" t="s">
        <v>69</v>
      </c>
      <c r="B17" s="9">
        <v>46284</v>
      </c>
      <c r="C17" s="2">
        <v>89</v>
      </c>
      <c r="D17" s="1">
        <f t="shared" ca="1" si="0"/>
        <v>0</v>
      </c>
      <c r="J17" s="14">
        <f t="shared" si="5"/>
        <v>46314</v>
      </c>
      <c r="M17" s="9">
        <v>46284</v>
      </c>
      <c r="O17" t="e">
        <f ca="1">IF(Finance!#REF!&gt;Sources!$P$1,Finance!#REF!,0)</f>
        <v>#REF!</v>
      </c>
    </row>
    <row r="18" spans="1:15" x14ac:dyDescent="0.2">
      <c r="A18" s="11" t="s">
        <v>70</v>
      </c>
      <c r="B18" s="9">
        <v>46284</v>
      </c>
      <c r="C18" s="2">
        <v>132</v>
      </c>
      <c r="D18" s="1">
        <f t="shared" ca="1" si="0"/>
        <v>0</v>
      </c>
      <c r="J18" s="14">
        <f t="shared" si="5"/>
        <v>46314</v>
      </c>
      <c r="M18" s="9">
        <v>46284</v>
      </c>
      <c r="O18" t="e">
        <f ca="1">IF(Finance!#REF!&gt;Sources!$P$1,Finance!#REF!,0)</f>
        <v>#REF!</v>
      </c>
    </row>
    <row r="19" spans="1:15" x14ac:dyDescent="0.2">
      <c r="A19" s="11" t="s">
        <v>10</v>
      </c>
      <c r="B19" s="9">
        <v>46285</v>
      </c>
      <c r="C19" s="2">
        <v>12674</v>
      </c>
      <c r="D19" s="1">
        <f t="shared" ca="1" si="0"/>
        <v>0</v>
      </c>
      <c r="F19" t="s">
        <v>46</v>
      </c>
      <c r="G19">
        <v>8124</v>
      </c>
      <c r="J19" s="14">
        <f t="shared" si="5"/>
        <v>46315</v>
      </c>
      <c r="M19" s="9">
        <v>46285</v>
      </c>
      <c r="O19" t="e">
        <f ca="1">IF(Finance!#REF!&gt;Sources!$P$1,Finance!#REF!,0)</f>
        <v>#REF!</v>
      </c>
    </row>
    <row r="20" spans="1:15" x14ac:dyDescent="0.2">
      <c r="A20" s="11" t="s">
        <v>24</v>
      </c>
      <c r="B20" s="9">
        <v>46254</v>
      </c>
      <c r="C20" s="2">
        <v>1173</v>
      </c>
      <c r="D20" s="1">
        <f t="shared" ca="1" si="0"/>
        <v>0</v>
      </c>
      <c r="F20" t="s">
        <v>36</v>
      </c>
      <c r="G20">
        <v>11733</v>
      </c>
      <c r="J20" s="14">
        <f t="shared" si="5"/>
        <v>46285</v>
      </c>
      <c r="K20" t="s">
        <v>47</v>
      </c>
      <c r="M20" s="9">
        <v>46254</v>
      </c>
      <c r="O20" t="e">
        <f ca="1">IF(Finance!#REF!&gt;Sources!$P$1,Finance!#REF!,0)</f>
        <v>#REF!</v>
      </c>
    </row>
    <row r="21" spans="1:15" x14ac:dyDescent="0.2">
      <c r="A21" s="11" t="s">
        <v>12</v>
      </c>
      <c r="B21" s="9">
        <v>46289</v>
      </c>
      <c r="C21" s="2">
        <v>1500</v>
      </c>
      <c r="D21" s="1">
        <f t="shared" ca="1" si="0"/>
        <v>0</v>
      </c>
      <c r="G21">
        <f>SUM(G19:G20)</f>
        <v>19857</v>
      </c>
      <c r="J21" s="14">
        <f t="shared" si="5"/>
        <v>46319</v>
      </c>
      <c r="M21" s="9">
        <v>46289</v>
      </c>
      <c r="O21" t="e">
        <f ca="1">IF(Finance!#REF!&gt;Sources!$P$1,Finance!#REF!,0)</f>
        <v>#REF!</v>
      </c>
    </row>
    <row r="22" spans="1:15" x14ac:dyDescent="0.2">
      <c r="A22" s="11" t="s">
        <v>72</v>
      </c>
      <c r="B22" s="9">
        <v>46287</v>
      </c>
      <c r="C22" s="2">
        <v>400</v>
      </c>
      <c r="D22" s="1">
        <f t="shared" ca="1" si="0"/>
        <v>0</v>
      </c>
      <c r="G22">
        <f>G21/2</f>
        <v>9928.5</v>
      </c>
      <c r="J22" s="14">
        <f t="shared" si="5"/>
        <v>46317</v>
      </c>
      <c r="M22" s="9">
        <v>46287</v>
      </c>
      <c r="O22" t="e">
        <f ca="1">IF(Finance!#REF!&gt;Sources!$P$1,Finance!#REF!,0)</f>
        <v>#REF!</v>
      </c>
    </row>
    <row r="23" spans="1:15" x14ac:dyDescent="0.2">
      <c r="A23" s="11" t="s">
        <v>13</v>
      </c>
      <c r="B23" s="9">
        <v>46289</v>
      </c>
      <c r="C23" s="2">
        <v>3100</v>
      </c>
      <c r="D23" s="1">
        <f t="shared" ca="1" si="0"/>
        <v>0</v>
      </c>
      <c r="J23" s="14">
        <f t="shared" si="5"/>
        <v>46319</v>
      </c>
      <c r="M23" s="9">
        <v>46289</v>
      </c>
      <c r="O23" t="e">
        <f ca="1">IF(Finance!#REF!&gt;Sources!$P$1,Finance!#REF!,0)</f>
        <v>#REF!</v>
      </c>
    </row>
    <row r="24" spans="1:15" x14ac:dyDescent="0.2">
      <c r="A24" s="11" t="s">
        <v>14</v>
      </c>
      <c r="B24" s="9">
        <v>46289</v>
      </c>
      <c r="C24" s="2">
        <v>6786</v>
      </c>
      <c r="D24" s="1">
        <f t="shared" ca="1" si="0"/>
        <v>0</v>
      </c>
      <c r="J24" s="14">
        <f t="shared" si="5"/>
        <v>46319</v>
      </c>
      <c r="M24" s="9">
        <v>46289</v>
      </c>
      <c r="O24" t="e">
        <f ca="1">IF(Finance!#REF!&gt;Sources!$P$1,Finance!#REF!,0)</f>
        <v>#REF!</v>
      </c>
    </row>
    <row r="25" spans="1:15" x14ac:dyDescent="0.2">
      <c r="A25" s="11" t="s">
        <v>9</v>
      </c>
      <c r="B25" s="9">
        <v>46288</v>
      </c>
      <c r="C25" s="2">
        <v>6627</v>
      </c>
      <c r="D25" s="1">
        <f t="shared" ca="1" si="0"/>
        <v>0</v>
      </c>
      <c r="J25" s="14">
        <f t="shared" si="5"/>
        <v>46318</v>
      </c>
      <c r="M25" s="9">
        <v>46288</v>
      </c>
      <c r="O25" t="e">
        <f ca="1">IF(Finance!#REF!&gt;Sources!$P$1,Finance!#REF!,0)</f>
        <v>#REF!</v>
      </c>
    </row>
    <row r="26" spans="1:15" x14ac:dyDescent="0.2">
      <c r="A26" s="11" t="s">
        <v>34</v>
      </c>
      <c r="B26" s="9">
        <v>46262</v>
      </c>
      <c r="C26" s="2">
        <v>3660</v>
      </c>
      <c r="D26" s="1">
        <f t="shared" ca="1" si="0"/>
        <v>0</v>
      </c>
      <c r="J26" s="14">
        <f t="shared" si="5"/>
        <v>46293</v>
      </c>
      <c r="K26" t="s">
        <v>47</v>
      </c>
      <c r="M26" s="9">
        <v>46262</v>
      </c>
      <c r="O26" t="e">
        <f ca="1">IF(Finance!#REF!&gt;Sources!$P$1,Finance!#REF!,0)</f>
        <v>#REF!</v>
      </c>
    </row>
    <row r="27" spans="1:15" x14ac:dyDescent="0.2">
      <c r="A27" s="11" t="s">
        <v>68</v>
      </c>
      <c r="B27" s="9">
        <v>46289</v>
      </c>
      <c r="C27" s="2">
        <v>79</v>
      </c>
      <c r="D27" s="1">
        <f ca="1">IF(B27&gt;G$1,1,0)</f>
        <v>0</v>
      </c>
      <c r="J27" s="14">
        <f t="shared" si="5"/>
        <v>46319</v>
      </c>
      <c r="M27" s="9">
        <v>46289</v>
      </c>
      <c r="O27" t="e">
        <f ca="1">IF(Finance!#REF!&gt;Sources!$P$1,Finance!#REF!,0)</f>
        <v>#REF!</v>
      </c>
    </row>
    <row r="28" spans="1:15" x14ac:dyDescent="0.2">
      <c r="A28" s="11" t="s">
        <v>53</v>
      </c>
      <c r="B28" s="9">
        <v>46293</v>
      </c>
      <c r="C28" s="2">
        <v>189</v>
      </c>
      <c r="D28" s="1">
        <f ca="1">IF(B28&gt;G$1,1,0)</f>
        <v>0</v>
      </c>
      <c r="J28" s="14">
        <f t="shared" si="5"/>
        <v>46323</v>
      </c>
      <c r="M28" s="9">
        <v>46293</v>
      </c>
      <c r="O28" t="e">
        <f ca="1">IF(Finance!#REF!&gt;Sources!$P$1,Finance!#REF!,0)</f>
        <v>#REF!</v>
      </c>
    </row>
    <row r="29" spans="1:15" x14ac:dyDescent="0.2">
      <c r="A29" s="11"/>
      <c r="B29" s="9"/>
      <c r="C29" s="2"/>
      <c r="D29" s="1"/>
      <c r="J29" s="14"/>
      <c r="M29" s="9"/>
    </row>
    <row r="30" spans="1:15" x14ac:dyDescent="0.2">
      <c r="A30" s="6" t="s">
        <v>44</v>
      </c>
      <c r="B30" s="9">
        <v>46039</v>
      </c>
      <c r="C30" s="2">
        <v>0</v>
      </c>
      <c r="D30" s="1">
        <f t="shared" ca="1" si="0"/>
        <v>0</v>
      </c>
      <c r="J30" s="14">
        <f t="shared" si="5"/>
        <v>46070</v>
      </c>
      <c r="M30" s="9">
        <v>46039</v>
      </c>
      <c r="O30" t="e">
        <f ca="1">IF(Finance!#REF!&gt;Sources!$P$1,Finance!#REF!,0)</f>
        <v>#REF!</v>
      </c>
    </row>
    <row r="31" spans="1:15" x14ac:dyDescent="0.2">
      <c r="A31" s="6" t="s">
        <v>45</v>
      </c>
      <c r="B31" s="16">
        <v>45554</v>
      </c>
      <c r="C31" s="2">
        <v>0</v>
      </c>
      <c r="D31" s="1">
        <f t="shared" ca="1" si="0"/>
        <v>0</v>
      </c>
      <c r="J31" s="14">
        <f t="shared" si="5"/>
        <v>45584</v>
      </c>
      <c r="O31" t="e">
        <f ca="1">IF(Finance!#REF!&gt;Sources!$P$1,Finance!#REF!,0)</f>
        <v>#REF!</v>
      </c>
    </row>
    <row r="32" spans="1:15" x14ac:dyDescent="0.2">
      <c r="C32" s="12">
        <f>SUM(C1:C31)</f>
        <v>53739</v>
      </c>
      <c r="E32" s="35" t="s">
        <v>88</v>
      </c>
      <c r="J32" s="42"/>
      <c r="O32" t="e">
        <f ca="1">IF(Finance!#REF!&gt;Sources!$P$1,Finance!#REF!,0)</f>
        <v>#REF!</v>
      </c>
    </row>
    <row r="33" spans="1:15" x14ac:dyDescent="0.2">
      <c r="C33" s="12"/>
      <c r="E33" s="2">
        <v>166464</v>
      </c>
      <c r="K33" s="16"/>
      <c r="L33" s="16"/>
      <c r="O33" t="e">
        <f ca="1">IF(Finance!#REF!&gt;Sources!$P$1,Finance!#REF!,0)</f>
        <v>#REF!</v>
      </c>
    </row>
    <row r="34" spans="1:15" x14ac:dyDescent="0.2">
      <c r="E34" s="2">
        <v>3800</v>
      </c>
      <c r="K34" s="16"/>
      <c r="L34" s="16"/>
      <c r="O34" t="e">
        <f ca="1">IF(Finance!#REF!&gt;Sources!$P$1,Finance!#REF!,0)</f>
        <v>#REF!</v>
      </c>
    </row>
    <row r="35" spans="1:15" x14ac:dyDescent="0.2">
      <c r="A35" s="8" t="s">
        <v>25</v>
      </c>
      <c r="B35" s="2">
        <v>6306</v>
      </c>
      <c r="C35" s="9">
        <v>45308</v>
      </c>
      <c r="D35" s="1">
        <f ca="1">DATEDIF(C35,G1,"m")</f>
        <v>32</v>
      </c>
      <c r="E35" s="2">
        <v>230970</v>
      </c>
      <c r="K35" s="16"/>
      <c r="L35" s="16"/>
      <c r="O35" t="e">
        <f ca="1">IF(Finance!#REF!&gt;Sources!$P$1,Finance!O1,0)</f>
        <v>#REF!</v>
      </c>
    </row>
    <row r="36" spans="1:15" x14ac:dyDescent="0.2">
      <c r="A36" s="8" t="s">
        <v>25</v>
      </c>
      <c r="B36" s="2">
        <v>3800</v>
      </c>
      <c r="C36" s="9">
        <v>45310</v>
      </c>
      <c r="D36" s="1">
        <v>1</v>
      </c>
      <c r="E36" s="2">
        <v>2208023</v>
      </c>
      <c r="K36" s="16"/>
      <c r="L36" s="16"/>
      <c r="O36" t="str">
        <f ca="1">IF(Finance!M2&gt;Sources!$P$1,Finance!O2,0)</f>
        <v>Ondra ŠvP</v>
      </c>
    </row>
    <row r="37" spans="1:15" x14ac:dyDescent="0.2">
      <c r="A37" s="8" t="s">
        <v>4</v>
      </c>
      <c r="B37" s="2">
        <v>6627</v>
      </c>
      <c r="C37" s="9">
        <v>45314</v>
      </c>
      <c r="D37" s="1">
        <f t="shared" ref="D37:D38" ca="1" si="6">DATEDIF(C37,$G$1,"m")</f>
        <v>32</v>
      </c>
      <c r="E37" s="36"/>
      <c r="O37">
        <f ca="1">IF(Finance!M3&gt;Sources!$P$1,Finance!O3,0)</f>
        <v>0</v>
      </c>
    </row>
    <row r="38" spans="1:15" x14ac:dyDescent="0.2">
      <c r="A38" s="8" t="s">
        <v>3</v>
      </c>
      <c r="B38" s="2">
        <v>10769</v>
      </c>
      <c r="C38" s="9">
        <v>45311</v>
      </c>
      <c r="D38" s="1">
        <f t="shared" ca="1" si="6"/>
        <v>32</v>
      </c>
      <c r="O38">
        <f ca="1">IF(Finance!M4&gt;Sources!$P$1,Finance!O4,0)</f>
        <v>0</v>
      </c>
    </row>
    <row r="39" spans="1:15" x14ac:dyDescent="0.2">
      <c r="O39">
        <f ca="1">IF(Finance!M5&gt;Sources!$P$1,Finance!O5,0)</f>
        <v>0</v>
      </c>
    </row>
    <row r="40" spans="1:15" x14ac:dyDescent="0.2">
      <c r="O40">
        <f ca="1">IF(Finance!M6&gt;Sources!$P$1,Finance!O6,0)</f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59555-887A-C34A-9E92-639CA9FFC8AD}">
  <sheetPr codeName="List6"/>
  <dimension ref="A1:T36"/>
  <sheetViews>
    <sheetView workbookViewId="0">
      <selection activeCell="A31" sqref="A31:B31"/>
    </sheetView>
  </sheetViews>
  <sheetFormatPr baseColWidth="10" defaultColWidth="8.83203125" defaultRowHeight="15" x14ac:dyDescent="0.2"/>
  <cols>
    <col min="1" max="1" width="16" bestFit="1" customWidth="1"/>
    <col min="2" max="2" width="10.5" bestFit="1" customWidth="1"/>
    <col min="3" max="3" width="17.5" bestFit="1" customWidth="1"/>
    <col min="4" max="6" width="10.5" bestFit="1" customWidth="1"/>
    <col min="8" max="8" width="20.83203125" bestFit="1" customWidth="1"/>
    <col min="9" max="9" width="10.5" style="12" bestFit="1" customWidth="1"/>
    <col min="10" max="10" width="17.5" bestFit="1" customWidth="1"/>
    <col min="11" max="11" width="10.5" bestFit="1" customWidth="1"/>
    <col min="15" max="15" width="18" customWidth="1"/>
    <col min="16" max="16" width="12.83203125" customWidth="1"/>
    <col min="17" max="17" width="13.1640625" customWidth="1"/>
    <col min="18" max="18" width="13.6640625" bestFit="1" customWidth="1"/>
    <col min="20" max="20" width="10.5" bestFit="1" customWidth="1"/>
  </cols>
  <sheetData>
    <row r="1" spans="1:20" x14ac:dyDescent="0.2">
      <c r="A1" s="23" t="s">
        <v>110</v>
      </c>
      <c r="B1" s="24">
        <v>1400</v>
      </c>
      <c r="C1" s="25" t="s">
        <v>56</v>
      </c>
      <c r="D1" s="24">
        <v>3127</v>
      </c>
      <c r="E1" s="25"/>
      <c r="F1" s="34" t="s">
        <v>61</v>
      </c>
      <c r="H1" s="26" t="s">
        <v>107</v>
      </c>
      <c r="I1" s="12">
        <v>4549</v>
      </c>
      <c r="J1" s="25" t="s">
        <v>56</v>
      </c>
      <c r="K1" s="24">
        <v>3127</v>
      </c>
      <c r="L1" s="25"/>
      <c r="M1" s="34" t="s">
        <v>83</v>
      </c>
      <c r="O1" s="66" t="s">
        <v>86</v>
      </c>
      <c r="P1" s="66"/>
      <c r="Q1" s="66"/>
      <c r="R1" s="66"/>
      <c r="S1" s="66"/>
      <c r="T1" s="1" t="s">
        <v>87</v>
      </c>
    </row>
    <row r="2" spans="1:20" x14ac:dyDescent="0.2">
      <c r="A2" s="26" t="s">
        <v>121</v>
      </c>
      <c r="B2" s="12">
        <v>650</v>
      </c>
      <c r="F2" s="27"/>
      <c r="H2" s="26" t="s">
        <v>108</v>
      </c>
      <c r="I2" s="12">
        <v>1050</v>
      </c>
      <c r="M2" s="27"/>
      <c r="O2" s="11" t="s">
        <v>75</v>
      </c>
      <c r="P2" s="1" t="s">
        <v>59</v>
      </c>
      <c r="Q2" s="2">
        <v>2000</v>
      </c>
      <c r="R2" s="1" t="s">
        <v>78</v>
      </c>
      <c r="S2" s="1">
        <v>200</v>
      </c>
      <c r="T2" s="2">
        <f>SUM(Q2:Q9)</f>
        <v>4600</v>
      </c>
    </row>
    <row r="3" spans="1:20" x14ac:dyDescent="0.2">
      <c r="A3" s="26" t="s">
        <v>122</v>
      </c>
      <c r="B3" s="12">
        <v>2542</v>
      </c>
      <c r="C3" t="s">
        <v>57</v>
      </c>
      <c r="D3" s="12">
        <f>D1-(SUM(B1:B5)/2)</f>
        <v>531</v>
      </c>
      <c r="F3" s="27"/>
      <c r="H3" s="26"/>
      <c r="J3" t="s">
        <v>57</v>
      </c>
      <c r="K3" s="12">
        <f>K1-(SUM(I1:I10)/2)</f>
        <v>-2752.5</v>
      </c>
      <c r="M3" s="27"/>
      <c r="O3" s="32"/>
      <c r="P3" s="1" t="s">
        <v>77</v>
      </c>
      <c r="Q3" s="2">
        <f>S2*S3</f>
        <v>2000</v>
      </c>
      <c r="R3" s="1" t="s">
        <v>79</v>
      </c>
      <c r="S3" s="1">
        <v>10</v>
      </c>
      <c r="T3" s="1"/>
    </row>
    <row r="4" spans="1:20" x14ac:dyDescent="0.2">
      <c r="A4" s="26" t="s">
        <v>123</v>
      </c>
      <c r="B4" s="12">
        <v>600</v>
      </c>
      <c r="F4" s="27"/>
      <c r="H4" s="26"/>
      <c r="M4" s="27"/>
      <c r="O4" s="33"/>
      <c r="P4" s="1" t="s">
        <v>80</v>
      </c>
      <c r="Q4" s="2">
        <v>600</v>
      </c>
      <c r="R4" s="1"/>
      <c r="S4" s="1"/>
      <c r="T4" s="1"/>
    </row>
    <row r="5" spans="1:20" ht="16" thickBot="1" x14ac:dyDescent="0.25">
      <c r="A5" s="28"/>
      <c r="B5" s="29"/>
      <c r="C5" s="30"/>
      <c r="D5" s="30"/>
      <c r="E5" s="30"/>
      <c r="F5" s="31"/>
      <c r="H5" s="28"/>
      <c r="J5" s="30"/>
      <c r="K5" s="30"/>
      <c r="L5" s="30"/>
      <c r="M5" s="31"/>
      <c r="O5" s="33"/>
      <c r="P5" s="1"/>
      <c r="Q5" s="2"/>
      <c r="R5" s="1"/>
      <c r="S5" s="1"/>
      <c r="T5" s="1"/>
    </row>
    <row r="6" spans="1:20" ht="16" thickBot="1" x14ac:dyDescent="0.25">
      <c r="B6" s="12"/>
      <c r="I6" s="52"/>
      <c r="O6" s="33"/>
      <c r="P6" s="1"/>
      <c r="Q6" s="2"/>
      <c r="R6" s="1"/>
      <c r="S6" s="1"/>
      <c r="T6" s="1"/>
    </row>
    <row r="7" spans="1:20" x14ac:dyDescent="0.2">
      <c r="A7" s="23" t="s">
        <v>124</v>
      </c>
      <c r="B7" s="24">
        <v>1600</v>
      </c>
      <c r="C7" s="25" t="s">
        <v>56</v>
      </c>
      <c r="D7" s="24">
        <v>3127</v>
      </c>
      <c r="E7" s="25"/>
      <c r="F7" s="34" t="s">
        <v>62</v>
      </c>
      <c r="H7" s="23" t="s">
        <v>101</v>
      </c>
      <c r="I7" s="12">
        <v>3730</v>
      </c>
      <c r="J7" s="25" t="s">
        <v>56</v>
      </c>
      <c r="K7" s="24">
        <v>3127</v>
      </c>
      <c r="L7" s="25"/>
      <c r="M7" s="34" t="s">
        <v>84</v>
      </c>
      <c r="O7" s="33"/>
      <c r="P7" s="1"/>
      <c r="Q7" s="2"/>
      <c r="R7" s="1"/>
      <c r="S7" s="1"/>
      <c r="T7" s="1"/>
    </row>
    <row r="8" spans="1:20" x14ac:dyDescent="0.2">
      <c r="A8" s="26" t="s">
        <v>125</v>
      </c>
      <c r="B8" s="12">
        <v>750</v>
      </c>
      <c r="F8" s="27"/>
      <c r="H8" s="26" t="s">
        <v>109</v>
      </c>
      <c r="I8" s="12">
        <v>630</v>
      </c>
      <c r="M8" s="27"/>
      <c r="O8" s="33"/>
      <c r="P8" s="1"/>
      <c r="Q8" s="2"/>
      <c r="R8" s="1"/>
      <c r="S8" s="1"/>
      <c r="T8" s="1"/>
    </row>
    <row r="9" spans="1:20" x14ac:dyDescent="0.2">
      <c r="A9" s="26" t="s">
        <v>128</v>
      </c>
      <c r="B9" s="12">
        <v>500</v>
      </c>
      <c r="C9" t="s">
        <v>57</v>
      </c>
      <c r="D9" s="12">
        <f>D7-(SUM(B7:B11)/2)</f>
        <v>452</v>
      </c>
      <c r="F9" s="27"/>
      <c r="H9" s="26" t="s">
        <v>91</v>
      </c>
      <c r="I9" s="12">
        <v>1800</v>
      </c>
      <c r="J9" t="s">
        <v>57</v>
      </c>
      <c r="K9" s="12">
        <f>K7-(SUM(I7:I11)/2)</f>
        <v>47</v>
      </c>
      <c r="M9" s="27"/>
      <c r="O9" s="3"/>
      <c r="P9" s="1"/>
      <c r="Q9" s="2"/>
      <c r="R9" s="1"/>
      <c r="S9" s="1"/>
      <c r="T9" s="1"/>
    </row>
    <row r="10" spans="1:20" x14ac:dyDescent="0.2">
      <c r="A10" s="26" t="s">
        <v>85</v>
      </c>
      <c r="B10" s="12">
        <v>2000</v>
      </c>
      <c r="F10" s="27"/>
      <c r="H10" s="26"/>
      <c r="M10" s="27"/>
      <c r="O10" s="11" t="s">
        <v>73</v>
      </c>
      <c r="P10" s="1" t="s">
        <v>76</v>
      </c>
      <c r="Q10" s="2">
        <f>S10*S11</f>
        <v>2400</v>
      </c>
      <c r="R10" s="1" t="s">
        <v>78</v>
      </c>
      <c r="S10" s="1">
        <v>300</v>
      </c>
      <c r="T10" s="2">
        <f>SUM(Q10:Q12)</f>
        <v>2400</v>
      </c>
    </row>
    <row r="11" spans="1:20" ht="16" thickBot="1" x14ac:dyDescent="0.25">
      <c r="A11" s="28" t="s">
        <v>131</v>
      </c>
      <c r="B11" s="29">
        <v>500</v>
      </c>
      <c r="C11" s="30"/>
      <c r="D11" s="30"/>
      <c r="E11" s="30"/>
      <c r="F11" s="31"/>
      <c r="H11" s="28"/>
      <c r="I11" s="29"/>
      <c r="J11" s="30"/>
      <c r="K11" s="30"/>
      <c r="L11" s="30"/>
      <c r="M11" s="31"/>
      <c r="O11" s="32"/>
      <c r="P11" s="1"/>
      <c r="Q11" s="2"/>
      <c r="R11" s="1" t="s">
        <v>79</v>
      </c>
      <c r="S11" s="1">
        <v>8</v>
      </c>
      <c r="T11" s="1"/>
    </row>
    <row r="12" spans="1:20" ht="16" thickBot="1" x14ac:dyDescent="0.25">
      <c r="B12" s="12"/>
      <c r="I12"/>
      <c r="O12" s="3"/>
      <c r="P12" s="1"/>
      <c r="Q12" s="1"/>
      <c r="R12" s="1"/>
      <c r="S12" s="1"/>
      <c r="T12" s="1"/>
    </row>
    <row r="13" spans="1:20" x14ac:dyDescent="0.2">
      <c r="A13" s="23" t="s">
        <v>110</v>
      </c>
      <c r="B13" s="24">
        <v>1250</v>
      </c>
      <c r="C13" s="25" t="s">
        <v>56</v>
      </c>
      <c r="D13" s="24">
        <v>3579</v>
      </c>
      <c r="E13" s="25"/>
      <c r="F13" s="34" t="s">
        <v>67</v>
      </c>
      <c r="H13" s="23" t="s">
        <v>110</v>
      </c>
      <c r="I13" s="24">
        <v>1100</v>
      </c>
      <c r="J13" s="25" t="s">
        <v>56</v>
      </c>
      <c r="K13" s="24">
        <v>3127</v>
      </c>
      <c r="L13" s="25"/>
      <c r="M13" s="34" t="s">
        <v>92</v>
      </c>
    </row>
    <row r="14" spans="1:20" x14ac:dyDescent="0.2">
      <c r="A14" s="26" t="s">
        <v>133</v>
      </c>
      <c r="B14" s="12">
        <v>750</v>
      </c>
      <c r="F14" s="27"/>
      <c r="H14" s="26" t="s">
        <v>111</v>
      </c>
      <c r="I14" s="12">
        <v>1200</v>
      </c>
      <c r="M14" s="27"/>
    </row>
    <row r="15" spans="1:20" x14ac:dyDescent="0.2">
      <c r="A15" s="26" t="s">
        <v>134</v>
      </c>
      <c r="B15" s="12">
        <v>1600</v>
      </c>
      <c r="C15" t="s">
        <v>57</v>
      </c>
      <c r="D15" s="12">
        <f>D13-(SUM(B13:B17)/2)</f>
        <v>0</v>
      </c>
      <c r="F15" s="27"/>
      <c r="H15" s="26" t="s">
        <v>110</v>
      </c>
      <c r="I15" s="12">
        <v>1240</v>
      </c>
      <c r="J15" t="s">
        <v>57</v>
      </c>
      <c r="K15" s="12">
        <f>K13-(SUM(I13:I17)/2)</f>
        <v>1357</v>
      </c>
      <c r="M15" s="27"/>
      <c r="O15" s="12">
        <f>SUM(B31:B33)</f>
        <v>1600</v>
      </c>
      <c r="P15" s="12">
        <f>O15/2</f>
        <v>800</v>
      </c>
    </row>
    <row r="16" spans="1:20" x14ac:dyDescent="0.2">
      <c r="A16" s="26" t="s">
        <v>135</v>
      </c>
      <c r="B16" s="12">
        <v>3558</v>
      </c>
      <c r="F16" s="27"/>
      <c r="H16" s="26"/>
      <c r="M16" s="27"/>
    </row>
    <row r="17" spans="1:18" ht="16" thickBot="1" x14ac:dyDescent="0.25">
      <c r="A17" s="28"/>
      <c r="B17" s="29"/>
      <c r="C17" s="30"/>
      <c r="D17" s="30"/>
      <c r="E17" s="30"/>
      <c r="F17" s="31"/>
      <c r="H17" s="28"/>
      <c r="I17" s="29"/>
      <c r="J17" s="30"/>
      <c r="K17" s="30"/>
      <c r="L17" s="30"/>
      <c r="M17" s="31"/>
    </row>
    <row r="18" spans="1:18" ht="16" thickBot="1" x14ac:dyDescent="0.25">
      <c r="I18"/>
      <c r="O18" s="53" t="s">
        <v>126</v>
      </c>
      <c r="P18" s="54">
        <v>8500</v>
      </c>
      <c r="Q18" s="12">
        <f>SUM(P18:P22)</f>
        <v>13200</v>
      </c>
    </row>
    <row r="19" spans="1:18" x14ac:dyDescent="0.2">
      <c r="A19" s="23" t="s">
        <v>111</v>
      </c>
      <c r="B19" s="24">
        <v>6254</v>
      </c>
      <c r="C19" s="25" t="s">
        <v>56</v>
      </c>
      <c r="D19" s="24">
        <v>3127</v>
      </c>
      <c r="E19" s="25"/>
      <c r="F19" s="34" t="s">
        <v>74</v>
      </c>
      <c r="H19" s="23" t="s">
        <v>112</v>
      </c>
      <c r="I19" s="24">
        <v>3800</v>
      </c>
      <c r="J19" s="25" t="s">
        <v>56</v>
      </c>
      <c r="K19" s="24">
        <v>3127</v>
      </c>
      <c r="L19" s="25"/>
      <c r="M19" s="34" t="s">
        <v>93</v>
      </c>
      <c r="O19" s="53" t="s">
        <v>129</v>
      </c>
      <c r="P19" s="54">
        <v>1700</v>
      </c>
    </row>
    <row r="20" spans="1:18" x14ac:dyDescent="0.2">
      <c r="A20" s="26"/>
      <c r="B20" s="12"/>
      <c r="F20" s="27"/>
      <c r="H20" s="26" t="s">
        <v>113</v>
      </c>
      <c r="I20" s="12">
        <v>700</v>
      </c>
      <c r="M20" s="27"/>
      <c r="O20" s="53" t="s">
        <v>130</v>
      </c>
      <c r="P20" s="54">
        <v>3000</v>
      </c>
    </row>
    <row r="21" spans="1:18" x14ac:dyDescent="0.2">
      <c r="A21" s="26"/>
      <c r="B21" s="12"/>
      <c r="C21" t="s">
        <v>57</v>
      </c>
      <c r="D21" s="12">
        <f>D19-(SUM(B19:B23)/2)</f>
        <v>0</v>
      </c>
      <c r="F21" s="27"/>
      <c r="H21" s="26" t="s">
        <v>114</v>
      </c>
      <c r="I21" s="12">
        <v>1550</v>
      </c>
      <c r="J21" t="s">
        <v>57</v>
      </c>
      <c r="K21" s="12">
        <f>K19-(SUM(I19:I23)/2)</f>
        <v>-248</v>
      </c>
      <c r="M21" s="27"/>
    </row>
    <row r="22" spans="1:18" x14ac:dyDescent="0.2">
      <c r="A22" s="26"/>
      <c r="B22" s="12"/>
      <c r="F22" s="27"/>
      <c r="H22" s="26" t="s">
        <v>115</v>
      </c>
      <c r="I22" s="12">
        <v>700</v>
      </c>
      <c r="M22" s="27"/>
    </row>
    <row r="23" spans="1:18" ht="16" thickBot="1" x14ac:dyDescent="0.25">
      <c r="A23" s="28"/>
      <c r="B23" s="29"/>
      <c r="C23" s="30"/>
      <c r="D23" s="30"/>
      <c r="E23" s="30"/>
      <c r="F23" s="31"/>
      <c r="H23" s="28"/>
      <c r="I23" s="29"/>
      <c r="J23" s="30"/>
      <c r="K23" s="30"/>
      <c r="L23" s="30"/>
      <c r="M23" s="31"/>
      <c r="O23" s="53" t="s">
        <v>132</v>
      </c>
      <c r="P23" s="54">
        <v>12000</v>
      </c>
      <c r="Q23">
        <f>2*3127</f>
        <v>6254</v>
      </c>
      <c r="R23" s="12">
        <f>P23-Q23</f>
        <v>5746</v>
      </c>
    </row>
    <row r="24" spans="1:18" ht="16" thickBot="1" x14ac:dyDescent="0.25">
      <c r="I24" s="47"/>
    </row>
    <row r="25" spans="1:18" x14ac:dyDescent="0.2">
      <c r="A25" s="23" t="s">
        <v>111</v>
      </c>
      <c r="B25" s="24">
        <v>2188</v>
      </c>
      <c r="C25" s="25" t="s">
        <v>56</v>
      </c>
      <c r="D25" s="24">
        <v>3127</v>
      </c>
      <c r="E25" s="25"/>
      <c r="F25" s="46" t="s">
        <v>81</v>
      </c>
      <c r="H25" s="23" t="s">
        <v>116</v>
      </c>
      <c r="I25" s="12">
        <v>500</v>
      </c>
      <c r="J25" s="25" t="s">
        <v>56</v>
      </c>
      <c r="K25" s="24">
        <v>3127</v>
      </c>
      <c r="L25" s="25"/>
      <c r="M25" s="34" t="s">
        <v>94</v>
      </c>
    </row>
    <row r="26" spans="1:18" x14ac:dyDescent="0.2">
      <c r="A26" s="26" t="s">
        <v>136</v>
      </c>
      <c r="B26" s="12">
        <v>1100</v>
      </c>
      <c r="F26" s="27"/>
      <c r="H26" s="26" t="s">
        <v>117</v>
      </c>
      <c r="I26" s="12">
        <v>500</v>
      </c>
      <c r="M26" s="27"/>
    </row>
    <row r="27" spans="1:18" x14ac:dyDescent="0.2">
      <c r="A27" s="26" t="s">
        <v>137</v>
      </c>
      <c r="B27" s="12">
        <v>700</v>
      </c>
      <c r="C27" t="s">
        <v>57</v>
      </c>
      <c r="D27" s="12">
        <f>D25-(SUM(B25:B29)/2)</f>
        <v>208</v>
      </c>
      <c r="F27" s="27"/>
      <c r="H27" s="26" t="s">
        <v>113</v>
      </c>
      <c r="I27" s="12">
        <v>1300</v>
      </c>
      <c r="J27" t="s">
        <v>57</v>
      </c>
      <c r="K27" s="12">
        <f>K25-(SUM(I25:I29)/2)</f>
        <v>747</v>
      </c>
      <c r="M27" s="27"/>
    </row>
    <row r="28" spans="1:18" x14ac:dyDescent="0.2">
      <c r="A28" s="26" t="s">
        <v>138</v>
      </c>
      <c r="B28" s="12">
        <v>1600</v>
      </c>
      <c r="F28" s="27"/>
      <c r="H28" s="26" t="s">
        <v>118</v>
      </c>
      <c r="I28" s="12">
        <v>2150</v>
      </c>
      <c r="M28" s="27"/>
      <c r="O28" s="12"/>
    </row>
    <row r="29" spans="1:18" ht="16" thickBot="1" x14ac:dyDescent="0.25">
      <c r="A29" s="28" t="s">
        <v>139</v>
      </c>
      <c r="B29" s="29">
        <v>250</v>
      </c>
      <c r="C29" s="30"/>
      <c r="D29" s="30"/>
      <c r="E29" s="30"/>
      <c r="F29" s="31"/>
      <c r="H29" s="28" t="s">
        <v>119</v>
      </c>
      <c r="I29" s="12">
        <v>310</v>
      </c>
      <c r="J29" s="30"/>
      <c r="K29" s="30"/>
      <c r="L29" s="30"/>
      <c r="M29" s="31"/>
    </row>
    <row r="30" spans="1:18" ht="16" thickBot="1" x14ac:dyDescent="0.25">
      <c r="B30" s="12"/>
      <c r="I30" s="25"/>
    </row>
    <row r="31" spans="1:18" x14ac:dyDescent="0.2">
      <c r="A31" s="23" t="s">
        <v>138</v>
      </c>
      <c r="B31" s="24">
        <v>1600</v>
      </c>
      <c r="C31" s="25" t="s">
        <v>56</v>
      </c>
      <c r="D31" s="24">
        <v>3127</v>
      </c>
      <c r="E31" s="25"/>
      <c r="F31" s="46" t="s">
        <v>82</v>
      </c>
      <c r="H31" s="23" t="s">
        <v>120</v>
      </c>
      <c r="I31" s="24">
        <v>496</v>
      </c>
      <c r="J31" s="25" t="s">
        <v>56</v>
      </c>
      <c r="K31" s="24">
        <v>3127</v>
      </c>
      <c r="L31" s="25"/>
      <c r="M31" s="34" t="s">
        <v>95</v>
      </c>
    </row>
    <row r="32" spans="1:18" x14ac:dyDescent="0.2">
      <c r="A32" s="26"/>
      <c r="B32" s="12"/>
      <c r="F32" s="27"/>
      <c r="H32" s="26" t="s">
        <v>111</v>
      </c>
      <c r="I32" s="12">
        <v>4500</v>
      </c>
      <c r="M32" s="27"/>
    </row>
    <row r="33" spans="1:13" x14ac:dyDescent="0.2">
      <c r="A33" s="26"/>
      <c r="B33" s="12"/>
      <c r="C33" t="s">
        <v>57</v>
      </c>
      <c r="D33" s="12">
        <f>D31-(SUM(B31:B41)/2)</f>
        <v>2327</v>
      </c>
      <c r="F33" s="27"/>
      <c r="H33" s="26"/>
      <c r="J33" t="s">
        <v>57</v>
      </c>
      <c r="K33" s="12">
        <f>K31-(SUM(I31:I35)/2)</f>
        <v>629</v>
      </c>
      <c r="M33" s="27"/>
    </row>
    <row r="34" spans="1:13" x14ac:dyDescent="0.2">
      <c r="A34" s="26"/>
      <c r="B34" s="12"/>
      <c r="F34" s="27"/>
      <c r="H34" s="26"/>
      <c r="M34" s="27"/>
    </row>
    <row r="35" spans="1:13" ht="16" thickBot="1" x14ac:dyDescent="0.25">
      <c r="A35" s="28"/>
      <c r="B35" s="29"/>
      <c r="C35" s="30"/>
      <c r="D35" s="30"/>
      <c r="E35" s="30"/>
      <c r="F35" s="31"/>
      <c r="H35" s="28"/>
      <c r="I35" s="29"/>
      <c r="J35" s="30"/>
      <c r="K35" s="30"/>
      <c r="L35" s="30"/>
      <c r="M35" s="31"/>
    </row>
    <row r="36" spans="1:13" x14ac:dyDescent="0.2">
      <c r="I36"/>
    </row>
  </sheetData>
  <mergeCells count="1">
    <mergeCell ref="O1:S1"/>
  </mergeCells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A6A51-1B66-4BFB-8A8F-F0431A71CD0A}">
  <sheetPr codeName="List7"/>
  <dimension ref="A1:T35"/>
  <sheetViews>
    <sheetView workbookViewId="0">
      <selection activeCell="A15" sqref="A15"/>
    </sheetView>
  </sheetViews>
  <sheetFormatPr baseColWidth="10" defaultColWidth="8.83203125" defaultRowHeight="15" x14ac:dyDescent="0.2"/>
  <cols>
    <col min="1" max="1" width="15.33203125" bestFit="1" customWidth="1"/>
    <col min="2" max="2" width="10.5" bestFit="1" customWidth="1"/>
    <col min="3" max="3" width="17.5" bestFit="1" customWidth="1"/>
    <col min="4" max="6" width="10.5" bestFit="1" customWidth="1"/>
    <col min="8" max="8" width="15.33203125" bestFit="1" customWidth="1"/>
    <col min="9" max="9" width="10.5" bestFit="1" customWidth="1"/>
    <col min="10" max="10" width="17.5" bestFit="1" customWidth="1"/>
    <col min="11" max="11" width="10.5" bestFit="1" customWidth="1"/>
    <col min="16" max="16" width="9.83203125" bestFit="1" customWidth="1"/>
    <col min="17" max="17" width="10.5" bestFit="1" customWidth="1"/>
    <col min="18" max="18" width="13.6640625" bestFit="1" customWidth="1"/>
    <col min="20" max="20" width="10.5" bestFit="1" customWidth="1"/>
  </cols>
  <sheetData>
    <row r="1" spans="1:20" x14ac:dyDescent="0.2">
      <c r="A1" s="23" t="s">
        <v>54</v>
      </c>
      <c r="B1" s="24">
        <v>530</v>
      </c>
      <c r="C1" s="25" t="s">
        <v>56</v>
      </c>
      <c r="D1" s="24">
        <v>3127</v>
      </c>
      <c r="E1" s="25"/>
      <c r="F1" s="34" t="s">
        <v>61</v>
      </c>
      <c r="H1" s="23" t="s">
        <v>89</v>
      </c>
      <c r="I1" s="24">
        <v>1000</v>
      </c>
      <c r="J1" s="25" t="s">
        <v>56</v>
      </c>
      <c r="K1" s="24">
        <v>3127</v>
      </c>
      <c r="L1" s="25"/>
      <c r="M1" s="34" t="s">
        <v>83</v>
      </c>
      <c r="O1" s="66" t="s">
        <v>86</v>
      </c>
      <c r="P1" s="66"/>
      <c r="Q1" s="66"/>
      <c r="R1" s="66"/>
      <c r="S1" s="66"/>
      <c r="T1" s="1" t="s">
        <v>87</v>
      </c>
    </row>
    <row r="2" spans="1:20" x14ac:dyDescent="0.2">
      <c r="A2" s="26" t="s">
        <v>55</v>
      </c>
      <c r="B2" s="12">
        <v>1000</v>
      </c>
      <c r="F2" s="27"/>
      <c r="H2" s="26"/>
      <c r="I2" s="12"/>
      <c r="M2" s="27"/>
      <c r="O2" s="11" t="s">
        <v>75</v>
      </c>
      <c r="P2" s="1" t="s">
        <v>59</v>
      </c>
      <c r="Q2" s="2">
        <v>2000</v>
      </c>
      <c r="R2" s="1" t="s">
        <v>78</v>
      </c>
      <c r="S2" s="1">
        <v>200</v>
      </c>
      <c r="T2" s="2">
        <f>SUM(Q2:Q9)</f>
        <v>4600</v>
      </c>
    </row>
    <row r="3" spans="1:20" x14ac:dyDescent="0.2">
      <c r="A3" s="26" t="s">
        <v>58</v>
      </c>
      <c r="B3" s="12">
        <v>1200</v>
      </c>
      <c r="C3" t="s">
        <v>57</v>
      </c>
      <c r="D3" s="12">
        <f>D1-(SUM(B1:B5)/2)</f>
        <v>852</v>
      </c>
      <c r="F3" s="27"/>
      <c r="H3" s="26"/>
      <c r="I3" s="12"/>
      <c r="J3" t="s">
        <v>57</v>
      </c>
      <c r="K3" s="12">
        <f>K1-(SUM(I1:I10)/2)</f>
        <v>77</v>
      </c>
      <c r="M3" s="27"/>
      <c r="O3" s="32"/>
      <c r="P3" s="1" t="s">
        <v>77</v>
      </c>
      <c r="Q3" s="2">
        <f>S2*S3</f>
        <v>2000</v>
      </c>
      <c r="R3" s="1" t="s">
        <v>79</v>
      </c>
      <c r="S3" s="1">
        <v>10</v>
      </c>
      <c r="T3" s="1"/>
    </row>
    <row r="4" spans="1:20" x14ac:dyDescent="0.2">
      <c r="A4" s="26" t="s">
        <v>59</v>
      </c>
      <c r="B4" s="12">
        <v>320</v>
      </c>
      <c r="F4" s="27"/>
      <c r="H4" s="26"/>
      <c r="I4" s="12"/>
      <c r="M4" s="27"/>
      <c r="O4" s="33"/>
      <c r="P4" s="1" t="s">
        <v>80</v>
      </c>
      <c r="Q4" s="2">
        <v>600</v>
      </c>
      <c r="R4" s="1"/>
      <c r="S4" s="1"/>
      <c r="T4" s="1"/>
    </row>
    <row r="5" spans="1:20" ht="16" thickBot="1" x14ac:dyDescent="0.25">
      <c r="A5" s="28" t="s">
        <v>60</v>
      </c>
      <c r="B5" s="29">
        <v>1500</v>
      </c>
      <c r="C5" s="30"/>
      <c r="D5" s="30"/>
      <c r="E5" s="30"/>
      <c r="F5" s="31"/>
      <c r="H5" s="28"/>
      <c r="I5" s="29"/>
      <c r="J5" s="30"/>
      <c r="K5" s="30"/>
      <c r="L5" s="30"/>
      <c r="M5" s="31"/>
      <c r="O5" s="33"/>
      <c r="P5" s="1"/>
      <c r="Q5" s="2"/>
      <c r="R5" s="1"/>
      <c r="S5" s="1"/>
      <c r="T5" s="1"/>
    </row>
    <row r="6" spans="1:20" ht="16" thickBot="1" x14ac:dyDescent="0.25">
      <c r="B6" s="12"/>
      <c r="O6" s="33"/>
      <c r="P6" s="1"/>
      <c r="Q6" s="2"/>
      <c r="R6" s="1"/>
      <c r="S6" s="1"/>
      <c r="T6" s="1"/>
    </row>
    <row r="7" spans="1:20" x14ac:dyDescent="0.2">
      <c r="A7" s="23" t="s">
        <v>63</v>
      </c>
      <c r="B7" s="24">
        <v>2000</v>
      </c>
      <c r="C7" s="25" t="s">
        <v>56</v>
      </c>
      <c r="D7" s="24">
        <v>3127</v>
      </c>
      <c r="E7" s="25"/>
      <c r="F7" s="34" t="s">
        <v>62</v>
      </c>
      <c r="H7" s="23" t="s">
        <v>91</v>
      </c>
      <c r="I7" s="24">
        <v>1500</v>
      </c>
      <c r="J7" s="25" t="s">
        <v>56</v>
      </c>
      <c r="K7" s="24">
        <v>3127</v>
      </c>
      <c r="L7" s="25"/>
      <c r="M7" s="34" t="s">
        <v>84</v>
      </c>
      <c r="O7" s="33"/>
      <c r="P7" s="1"/>
      <c r="Q7" s="2"/>
      <c r="R7" s="1"/>
      <c r="S7" s="1"/>
      <c r="T7" s="1"/>
    </row>
    <row r="8" spans="1:20" x14ac:dyDescent="0.2">
      <c r="A8" s="26" t="s">
        <v>64</v>
      </c>
      <c r="B8" s="12">
        <v>840</v>
      </c>
      <c r="F8" s="27"/>
      <c r="H8" s="26" t="s">
        <v>63</v>
      </c>
      <c r="I8" s="12">
        <v>3600</v>
      </c>
      <c r="M8" s="27"/>
      <c r="O8" s="33"/>
      <c r="P8" s="1"/>
      <c r="Q8" s="2"/>
      <c r="R8" s="1"/>
      <c r="S8" s="1"/>
      <c r="T8" s="1"/>
    </row>
    <row r="9" spans="1:20" x14ac:dyDescent="0.2">
      <c r="A9" s="26"/>
      <c r="B9" s="12"/>
      <c r="C9" t="s">
        <v>57</v>
      </c>
      <c r="D9" s="12">
        <f>D7-(SUM(B7:B16)/2)</f>
        <v>1157</v>
      </c>
      <c r="F9" s="27"/>
      <c r="H9" s="26"/>
      <c r="I9" s="12"/>
      <c r="J9" t="s">
        <v>57</v>
      </c>
      <c r="K9" s="12">
        <f>K7-(SUM(I7:I11)/2)</f>
        <v>577</v>
      </c>
      <c r="M9" s="27"/>
      <c r="O9" s="3"/>
      <c r="P9" s="1"/>
      <c r="Q9" s="2"/>
      <c r="R9" s="1"/>
      <c r="S9" s="1"/>
      <c r="T9" s="1"/>
    </row>
    <row r="10" spans="1:20" x14ac:dyDescent="0.2">
      <c r="A10" s="26"/>
      <c r="B10" s="12"/>
      <c r="F10" s="27"/>
      <c r="H10" s="26"/>
      <c r="I10" s="12"/>
      <c r="M10" s="27"/>
      <c r="O10" s="11" t="s">
        <v>73</v>
      </c>
      <c r="P10" s="1" t="s">
        <v>76</v>
      </c>
      <c r="Q10" s="2">
        <f>S10*S11</f>
        <v>2400</v>
      </c>
      <c r="R10" s="1" t="s">
        <v>78</v>
      </c>
      <c r="S10" s="1">
        <v>300</v>
      </c>
      <c r="T10" s="2">
        <f>SUM(Q10:Q12)</f>
        <v>2400</v>
      </c>
    </row>
    <row r="11" spans="1:20" ht="16" thickBot="1" x14ac:dyDescent="0.25">
      <c r="A11" s="28"/>
      <c r="B11" s="29"/>
      <c r="C11" s="30"/>
      <c r="D11" s="30"/>
      <c r="E11" s="30"/>
      <c r="F11" s="31"/>
      <c r="H11" s="28"/>
      <c r="I11" s="29"/>
      <c r="J11" s="30"/>
      <c r="K11" s="30"/>
      <c r="L11" s="30"/>
      <c r="M11" s="31"/>
      <c r="O11" s="32"/>
      <c r="P11" s="1"/>
      <c r="Q11" s="2"/>
      <c r="R11" s="1" t="s">
        <v>79</v>
      </c>
      <c r="S11" s="1">
        <v>8</v>
      </c>
      <c r="T11" s="1"/>
    </row>
    <row r="12" spans="1:20" ht="16" thickBot="1" x14ac:dyDescent="0.25">
      <c r="B12" s="12"/>
      <c r="I12" s="12"/>
      <c r="O12" s="3"/>
      <c r="P12" s="1"/>
      <c r="Q12" s="1"/>
      <c r="R12" s="1"/>
      <c r="S12" s="1"/>
      <c r="T12" s="1"/>
    </row>
    <row r="13" spans="1:20" x14ac:dyDescent="0.2">
      <c r="A13" s="23" t="s">
        <v>104</v>
      </c>
      <c r="B13" s="24">
        <v>1100</v>
      </c>
      <c r="C13" s="25" t="s">
        <v>56</v>
      </c>
      <c r="D13" s="24">
        <v>3127</v>
      </c>
      <c r="E13" s="25"/>
      <c r="F13" s="46" t="s">
        <v>67</v>
      </c>
      <c r="H13" s="23" t="s">
        <v>89</v>
      </c>
      <c r="I13" s="24">
        <v>970</v>
      </c>
      <c r="J13" s="25" t="s">
        <v>56</v>
      </c>
      <c r="K13" s="24">
        <v>3127</v>
      </c>
      <c r="L13" s="25"/>
      <c r="M13" s="34" t="s">
        <v>92</v>
      </c>
    </row>
    <row r="14" spans="1:20" x14ac:dyDescent="0.2">
      <c r="A14" s="26"/>
      <c r="B14" s="12"/>
      <c r="F14" s="27"/>
      <c r="H14" s="26" t="s">
        <v>101</v>
      </c>
      <c r="I14" s="12">
        <v>4350</v>
      </c>
      <c r="M14" s="27"/>
    </row>
    <row r="15" spans="1:20" x14ac:dyDescent="0.2">
      <c r="A15" s="26"/>
      <c r="B15" s="12"/>
      <c r="C15" t="s">
        <v>57</v>
      </c>
      <c r="D15" s="12">
        <f>D13-(SUM(B13:B17)/2)</f>
        <v>2577</v>
      </c>
      <c r="F15" s="27"/>
      <c r="H15" s="26"/>
      <c r="I15" s="12"/>
      <c r="J15" t="s">
        <v>57</v>
      </c>
      <c r="K15" s="12">
        <f>K13-(SUM(I13:I17)/2)</f>
        <v>467</v>
      </c>
      <c r="M15" s="27"/>
    </row>
    <row r="16" spans="1:20" x14ac:dyDescent="0.2">
      <c r="A16" s="26"/>
      <c r="B16" s="12"/>
      <c r="F16" s="27"/>
      <c r="H16" s="26"/>
      <c r="I16" s="12"/>
      <c r="M16" s="27"/>
    </row>
    <row r="17" spans="1:13" ht="16" thickBot="1" x14ac:dyDescent="0.25">
      <c r="A17" s="28"/>
      <c r="B17" s="29"/>
      <c r="C17" s="30"/>
      <c r="D17" s="30"/>
      <c r="E17" s="30"/>
      <c r="F17" s="31"/>
      <c r="H17" s="28"/>
      <c r="I17" s="29"/>
      <c r="J17" s="30"/>
      <c r="K17" s="30"/>
      <c r="L17" s="30"/>
      <c r="M17" s="31"/>
    </row>
    <row r="18" spans="1:13" ht="16" thickBot="1" x14ac:dyDescent="0.25"/>
    <row r="19" spans="1:13" x14ac:dyDescent="0.2">
      <c r="A19" s="23"/>
      <c r="B19" s="24"/>
      <c r="C19" s="25" t="s">
        <v>56</v>
      </c>
      <c r="D19" s="24">
        <v>3127</v>
      </c>
      <c r="E19" s="25"/>
      <c r="F19" s="46" t="s">
        <v>74</v>
      </c>
      <c r="H19" s="23" t="s">
        <v>102</v>
      </c>
      <c r="I19" s="24">
        <v>3300</v>
      </c>
      <c r="J19" s="25" t="s">
        <v>56</v>
      </c>
      <c r="K19" s="24">
        <v>3127</v>
      </c>
      <c r="L19" s="25"/>
      <c r="M19" s="34" t="s">
        <v>93</v>
      </c>
    </row>
    <row r="20" spans="1:13" x14ac:dyDescent="0.2">
      <c r="A20" s="26"/>
      <c r="B20" s="12"/>
      <c r="F20" s="27"/>
      <c r="H20" s="26"/>
      <c r="I20" s="12"/>
      <c r="M20" s="27"/>
    </row>
    <row r="21" spans="1:13" x14ac:dyDescent="0.2">
      <c r="A21" s="26"/>
      <c r="B21" s="12"/>
      <c r="C21" t="s">
        <v>57</v>
      </c>
      <c r="D21" s="12">
        <f>D19-(SUM(B19:B23)/2)</f>
        <v>3127</v>
      </c>
      <c r="F21" s="27"/>
      <c r="H21" s="26"/>
      <c r="I21" s="12"/>
      <c r="J21" t="s">
        <v>57</v>
      </c>
      <c r="K21" s="12">
        <f>K19-(SUM(I19:I23)/2)</f>
        <v>1477</v>
      </c>
      <c r="M21" s="27"/>
    </row>
    <row r="22" spans="1:13" x14ac:dyDescent="0.2">
      <c r="A22" s="26"/>
      <c r="B22" s="12"/>
      <c r="F22" s="27"/>
      <c r="H22" s="26"/>
      <c r="I22" s="12"/>
      <c r="M22" s="27"/>
    </row>
    <row r="23" spans="1:13" ht="16" thickBot="1" x14ac:dyDescent="0.25">
      <c r="A23" s="28"/>
      <c r="B23" s="29"/>
      <c r="C23" s="30"/>
      <c r="D23" s="30"/>
      <c r="E23" s="30"/>
      <c r="F23" s="31"/>
      <c r="H23" s="28"/>
      <c r="I23" s="29"/>
      <c r="J23" s="30"/>
      <c r="K23" s="30"/>
      <c r="L23" s="30"/>
      <c r="M23" s="31"/>
    </row>
    <row r="24" spans="1:13" ht="16" thickBot="1" x14ac:dyDescent="0.25"/>
    <row r="25" spans="1:13" x14ac:dyDescent="0.2">
      <c r="A25" s="23"/>
      <c r="B25" s="24"/>
      <c r="C25" s="25" t="s">
        <v>56</v>
      </c>
      <c r="D25" s="24">
        <v>3127</v>
      </c>
      <c r="E25" s="25"/>
      <c r="F25" s="46" t="s">
        <v>81</v>
      </c>
      <c r="H25" s="23" t="s">
        <v>85</v>
      </c>
      <c r="I25" s="24">
        <v>1350</v>
      </c>
      <c r="J25" s="25" t="s">
        <v>56</v>
      </c>
      <c r="K25" s="24">
        <v>3127</v>
      </c>
      <c r="L25" s="25"/>
      <c r="M25" s="34" t="s">
        <v>94</v>
      </c>
    </row>
    <row r="26" spans="1:13" x14ac:dyDescent="0.2">
      <c r="A26" s="26"/>
      <c r="B26" s="12"/>
      <c r="F26" s="27"/>
      <c r="H26" s="26"/>
      <c r="I26" s="12"/>
      <c r="M26" s="27"/>
    </row>
    <row r="27" spans="1:13" x14ac:dyDescent="0.2">
      <c r="A27" s="26"/>
      <c r="B27" s="12"/>
      <c r="C27" t="s">
        <v>57</v>
      </c>
      <c r="D27" s="12">
        <f>D25-(SUM(B25:B29)/2)</f>
        <v>3127</v>
      </c>
      <c r="F27" s="27"/>
      <c r="H27" s="26"/>
      <c r="I27" s="12"/>
      <c r="J27" t="s">
        <v>57</v>
      </c>
      <c r="K27" s="12">
        <f>K25-(SUM(I25:I29)/2)</f>
        <v>2452</v>
      </c>
      <c r="M27" s="27"/>
    </row>
    <row r="28" spans="1:13" x14ac:dyDescent="0.2">
      <c r="A28" s="26"/>
      <c r="B28" s="12"/>
      <c r="F28" s="27"/>
      <c r="H28" s="26"/>
      <c r="I28" s="12"/>
      <c r="M28" s="27"/>
    </row>
    <row r="29" spans="1:13" ht="16" thickBot="1" x14ac:dyDescent="0.25">
      <c r="A29" s="28"/>
      <c r="B29" s="29"/>
      <c r="C29" s="30"/>
      <c r="D29" s="30"/>
      <c r="E29" s="30"/>
      <c r="F29" s="31"/>
      <c r="H29" s="28"/>
      <c r="I29" s="29"/>
      <c r="J29" s="30"/>
      <c r="K29" s="30"/>
      <c r="L29" s="30"/>
      <c r="M29" s="31"/>
    </row>
    <row r="30" spans="1:13" ht="16" thickBot="1" x14ac:dyDescent="0.25">
      <c r="B30" s="12"/>
    </row>
    <row r="31" spans="1:13" x14ac:dyDescent="0.2">
      <c r="A31" s="23"/>
      <c r="B31" s="24"/>
      <c r="C31" s="25" t="s">
        <v>56</v>
      </c>
      <c r="D31" s="24">
        <v>3127</v>
      </c>
      <c r="E31" s="25"/>
      <c r="F31" s="46" t="s">
        <v>82</v>
      </c>
      <c r="H31" s="23"/>
      <c r="I31" s="24"/>
      <c r="J31" s="25" t="s">
        <v>56</v>
      </c>
      <c r="K31" s="24">
        <v>3127</v>
      </c>
      <c r="L31" s="25"/>
      <c r="M31" s="34" t="s">
        <v>95</v>
      </c>
    </row>
    <row r="32" spans="1:13" x14ac:dyDescent="0.2">
      <c r="A32" s="26"/>
      <c r="B32" s="12"/>
      <c r="F32" s="27"/>
      <c r="H32" s="26"/>
      <c r="I32" s="12"/>
      <c r="M32" s="27"/>
    </row>
    <row r="33" spans="1:13" x14ac:dyDescent="0.2">
      <c r="A33" s="26"/>
      <c r="B33" s="12"/>
      <c r="C33" t="s">
        <v>57</v>
      </c>
      <c r="D33" s="12">
        <f>D31-(SUM(B31:B35)/2)</f>
        <v>3127</v>
      </c>
      <c r="F33" s="27"/>
      <c r="H33" s="26"/>
      <c r="I33" s="12"/>
      <c r="J33" t="s">
        <v>57</v>
      </c>
      <c r="K33" s="12">
        <f>K31-(SUM(I31:I35)/2)</f>
        <v>3127</v>
      </c>
      <c r="M33" s="27"/>
    </row>
    <row r="34" spans="1:13" x14ac:dyDescent="0.2">
      <c r="A34" s="26"/>
      <c r="B34" s="12"/>
      <c r="F34" s="27"/>
      <c r="H34" s="26"/>
      <c r="I34" s="12"/>
      <c r="M34" s="27"/>
    </row>
    <row r="35" spans="1:13" ht="16" thickBot="1" x14ac:dyDescent="0.25">
      <c r="A35" s="28"/>
      <c r="B35" s="29"/>
      <c r="C35" s="30"/>
      <c r="D35" s="30"/>
      <c r="E35" s="30"/>
      <c r="F35" s="31"/>
      <c r="H35" s="28"/>
      <c r="I35" s="29"/>
      <c r="J35" s="30"/>
      <c r="K35" s="30"/>
      <c r="L35" s="30"/>
      <c r="M35" s="31"/>
    </row>
  </sheetData>
  <mergeCells count="1">
    <mergeCell ref="O1:S1"/>
  </mergeCells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94F6B92-DF52-4C5B-B10E-9F0F1FCF2A6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Listy</vt:lpstr>
      </vt:variant>
      <vt:variant>
        <vt:i4>4</vt:i4>
      </vt:variant>
    </vt:vector>
  </HeadingPairs>
  <TitlesOfParts>
    <vt:vector size="4" baseType="lpstr">
      <vt:lpstr>Finance</vt:lpstr>
      <vt:lpstr>Sources</vt:lpstr>
      <vt:lpstr>Terka 2025</vt:lpstr>
      <vt:lpstr>Terka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Immer Dušan</dc:creator>
  <cp:lastModifiedBy>Dušan Immer</cp:lastModifiedBy>
  <dcterms:created xsi:type="dcterms:W3CDTF">2023-07-12T13:42:50Z</dcterms:created>
  <dcterms:modified xsi:type="dcterms:W3CDTF">2026-10-03T08:51:37Z</dcterms:modified>
</cp:coreProperties>
</file>